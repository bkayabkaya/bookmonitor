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A9CF8DAC-8401-7644-B21F-28D21E6E6015}" xr6:coauthVersionLast="47" xr6:coauthVersionMax="47" xr10:uidLastSave="{00000000-0000-0000-0000-000000000000}"/>
  <bookViews>
    <workbookView xWindow="280" yWindow="520" windowWidth="40660" windowHeight="1800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7" i="3" l="1"/>
  <c r="P94" i="7"/>
  <c r="W94" i="7"/>
  <c r="V94" i="7"/>
  <c r="T94" i="7"/>
  <c r="S94" i="7"/>
  <c r="Q94" i="7"/>
  <c r="O94" i="7"/>
  <c r="N94" i="7"/>
  <c r="D94" i="7"/>
  <c r="M94" i="7"/>
  <c r="G74" i="3"/>
  <c r="C87" i="3"/>
  <c r="G75" i="3" s="1"/>
  <c r="D63" i="1"/>
  <c r="D62" i="1"/>
  <c r="E67" i="1"/>
  <c r="E66" i="1"/>
  <c r="W93" i="7"/>
  <c r="V93" i="7"/>
  <c r="T93" i="7"/>
  <c r="S93" i="7"/>
  <c r="Q93" i="7"/>
  <c r="O93" i="7"/>
  <c r="N93" i="7"/>
  <c r="M93" i="7"/>
  <c r="U66" i="1"/>
  <c r="S61" i="1"/>
  <c r="P61" i="1"/>
  <c r="P60" i="1"/>
  <c r="D61" i="1"/>
  <c r="D86" i="3"/>
  <c r="C86" i="3"/>
  <c r="B86" i="3"/>
  <c r="B85" i="3"/>
  <c r="V47" i="1"/>
  <c r="V66" i="1" s="1"/>
  <c r="D92" i="7"/>
  <c r="C85" i="3"/>
  <c r="D85" i="3" s="1"/>
  <c r="S55" i="1"/>
  <c r="S54" i="1"/>
  <c r="S43" i="1"/>
  <c r="B84" i="3"/>
  <c r="S60" i="1"/>
  <c r="M91" i="7"/>
  <c r="Q91" i="7" s="1"/>
  <c r="P47" i="1"/>
  <c r="P43" i="1"/>
  <c r="C84" i="3"/>
  <c r="D60" i="1"/>
  <c r="W90" i="7"/>
  <c r="V90" i="7"/>
  <c r="T90" i="7"/>
  <c r="S90" i="7"/>
  <c r="O90" i="7"/>
  <c r="N90" i="7"/>
  <c r="M90" i="7"/>
  <c r="D90" i="7"/>
  <c r="P59" i="1"/>
  <c r="D59" i="1"/>
  <c r="D83" i="3"/>
  <c r="C83" i="3"/>
  <c r="B83" i="3"/>
  <c r="S52" i="1"/>
  <c r="G76" i="3" l="1"/>
  <c r="D87" i="3"/>
  <c r="M92" i="7"/>
  <c r="D84" i="3"/>
  <c r="T91" i="7"/>
  <c r="N91" i="7"/>
  <c r="O91" i="7"/>
  <c r="S91" i="7"/>
  <c r="V91" i="7"/>
  <c r="W91" i="7"/>
  <c r="W89" i="7"/>
  <c r="V89" i="7"/>
  <c r="T89" i="7"/>
  <c r="S89" i="7"/>
  <c r="O89" i="7"/>
  <c r="N89" i="7"/>
  <c r="M89" i="7"/>
  <c r="D89" i="7"/>
  <c r="S58" i="1"/>
  <c r="P58" i="1"/>
  <c r="D58" i="1"/>
  <c r="S57" i="1"/>
  <c r="S56" i="1"/>
  <c r="S51" i="1"/>
  <c r="S48" i="1"/>
  <c r="D82" i="3"/>
  <c r="C82" i="3"/>
  <c r="B82" i="3"/>
  <c r="B81" i="3"/>
  <c r="C81" i="3" s="1"/>
  <c r="W88" i="7"/>
  <c r="V88" i="7"/>
  <c r="T88" i="7"/>
  <c r="S88" i="7"/>
  <c r="O88" i="7"/>
  <c r="N88" i="7"/>
  <c r="M88" i="7"/>
  <c r="D57" i="1"/>
  <c r="D56" i="1"/>
  <c r="D55" i="1"/>
  <c r="D54" i="1"/>
  <c r="D53" i="1"/>
  <c r="S53" i="1"/>
  <c r="P57" i="1"/>
  <c r="P56" i="1"/>
  <c r="B80" i="3"/>
  <c r="C80" i="3" s="1"/>
  <c r="W87" i="7"/>
  <c r="V87" i="7"/>
  <c r="T87" i="7"/>
  <c r="S87" i="7"/>
  <c r="M87" i="7"/>
  <c r="O87" i="7" s="1"/>
  <c r="B79" i="3"/>
  <c r="P55" i="1"/>
  <c r="P54" i="1"/>
  <c r="P53" i="1"/>
  <c r="P52" i="1"/>
  <c r="P51" i="1"/>
  <c r="O86" i="7"/>
  <c r="W86" i="7"/>
  <c r="V86" i="7"/>
  <c r="T86" i="7"/>
  <c r="S86" i="7"/>
  <c r="N86" i="7"/>
  <c r="M86" i="7"/>
  <c r="D79" i="3"/>
  <c r="C79" i="3"/>
  <c r="D52" i="1"/>
  <c r="D51" i="1"/>
  <c r="W85" i="7"/>
  <c r="V85" i="7"/>
  <c r="T85" i="7"/>
  <c r="S85" i="7"/>
  <c r="O85" i="7"/>
  <c r="N85" i="7"/>
  <c r="M85" i="7"/>
  <c r="D85" i="7"/>
  <c r="D78" i="3"/>
  <c r="C78" i="3"/>
  <c r="B78" i="3"/>
  <c r="S50" i="1"/>
  <c r="D50" i="1"/>
  <c r="S49" i="1"/>
  <c r="V84" i="7"/>
  <c r="W84" i="7"/>
  <c r="T84" i="7"/>
  <c r="S84" i="7"/>
  <c r="O84" i="7"/>
  <c r="N84" i="7"/>
  <c r="D84" i="7"/>
  <c r="M84" i="7" s="1"/>
  <c r="D77" i="3"/>
  <c r="C77" i="3"/>
  <c r="B77" i="3"/>
  <c r="D49" i="1"/>
  <c r="D83" i="7"/>
  <c r="M83" i="7" s="1"/>
  <c r="S83" i="7" s="1"/>
  <c r="D76" i="3"/>
  <c r="C76" i="3"/>
  <c r="B76" i="3"/>
  <c r="P48" i="1"/>
  <c r="D48" i="1"/>
  <c r="S39" i="1"/>
  <c r="S44" i="1"/>
  <c r="S46" i="1"/>
  <c r="S40" i="1"/>
  <c r="P39" i="1"/>
  <c r="P40" i="1"/>
  <c r="P44" i="1"/>
  <c r="P46" i="1"/>
  <c r="S42" i="1"/>
  <c r="P42" i="1"/>
  <c r="S41" i="1"/>
  <c r="D47" i="1"/>
  <c r="D46" i="1"/>
  <c r="B75" i="3"/>
  <c r="D82" i="7"/>
  <c r="C75" i="3"/>
  <c r="D75" i="3" s="1"/>
  <c r="S45" i="1"/>
  <c r="B74" i="3"/>
  <c r="C74" i="3" s="1"/>
  <c r="M81" i="7"/>
  <c r="W81" i="7" s="1"/>
  <c r="D45" i="1"/>
  <c r="D44" i="1"/>
  <c r="D43" i="1"/>
  <c r="D42" i="1"/>
  <c r="D41" i="1"/>
  <c r="D80" i="7"/>
  <c r="B73" i="3"/>
  <c r="C73" i="3" s="1"/>
  <c r="S36" i="1"/>
  <c r="D40" i="1"/>
  <c r="G78" i="3" l="1" a="1"/>
  <c r="G78" i="3" s="1"/>
  <c r="G79" i="3" a="1"/>
  <c r="G79" i="3" s="1"/>
  <c r="G77" i="3"/>
  <c r="V92" i="7"/>
  <c r="T92" i="7"/>
  <c r="Q92" i="7"/>
  <c r="N92" i="7"/>
  <c r="W92" i="7"/>
  <c r="S92" i="7"/>
  <c r="O92" i="7"/>
  <c r="D81" i="3"/>
  <c r="N87" i="7"/>
  <c r="D80" i="3"/>
  <c r="O81" i="7"/>
  <c r="N81" i="7"/>
  <c r="M80" i="7"/>
  <c r="T81" i="7"/>
  <c r="N83" i="7"/>
  <c r="O83" i="7"/>
  <c r="W83" i="7"/>
  <c r="T83" i="7"/>
  <c r="M82" i="7"/>
  <c r="D74" i="3"/>
  <c r="D73" i="3"/>
  <c r="S32" i="1"/>
  <c r="B72" i="3"/>
  <c r="D79" i="7"/>
  <c r="C72" i="3"/>
  <c r="D72" i="3" s="1"/>
  <c r="B71" i="3"/>
  <c r="C71" i="3"/>
  <c r="B78" i="7"/>
  <c r="D78" i="7" s="1"/>
  <c r="D39" i="1"/>
  <c r="D77" i="7"/>
  <c r="M77" i="7" s="1"/>
  <c r="D70" i="3"/>
  <c r="C70" i="3"/>
  <c r="B70" i="3"/>
  <c r="U77" i="7" l="1"/>
  <c r="T77" i="7"/>
  <c r="N77" i="7"/>
  <c r="M78" i="7"/>
  <c r="O78" i="7"/>
  <c r="O77" i="7"/>
  <c r="W80" i="7"/>
  <c r="N80" i="7"/>
  <c r="T80" i="7"/>
  <c r="O80" i="7"/>
  <c r="W82" i="7"/>
  <c r="T82" i="7"/>
  <c r="N82" i="7"/>
  <c r="O82" i="7"/>
  <c r="M79" i="7"/>
  <c r="D71" i="3"/>
  <c r="D76" i="7"/>
  <c r="S35" i="1"/>
  <c r="M76" i="7" l="1"/>
  <c r="N78" i="7"/>
  <c r="W78" i="7"/>
  <c r="T78" i="7"/>
  <c r="W79" i="7"/>
  <c r="T79" i="7"/>
  <c r="N79" i="7"/>
  <c r="O79" i="7"/>
  <c r="C75" i="7"/>
  <c r="D75" i="7" s="1"/>
  <c r="S38" i="1"/>
  <c r="S37" i="1"/>
  <c r="S34" i="1"/>
  <c r="S33" i="1"/>
  <c r="M74" i="7"/>
  <c r="O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M61" i="7"/>
  <c r="W61" i="7" s="1"/>
  <c r="M59" i="7"/>
  <c r="W59" i="7" s="1"/>
  <c r="M53" i="7"/>
  <c r="W53" i="7" s="1"/>
  <c r="M24" i="7"/>
  <c r="W24" i="7" s="1"/>
  <c r="D70" i="7"/>
  <c r="M70" i="7" s="1"/>
  <c r="O70" i="7" s="1"/>
  <c r="D69" i="7"/>
  <c r="M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U76" i="7" l="1"/>
  <c r="T76" i="7"/>
  <c r="N76" i="7"/>
  <c r="M75" i="7"/>
  <c r="U75" i="7" s="1"/>
  <c r="T74" i="7"/>
  <c r="U74" i="7"/>
  <c r="O76" i="7"/>
  <c r="B67" i="3"/>
  <c r="N74" i="7"/>
  <c r="R24" i="7"/>
  <c r="S24" i="7"/>
  <c r="N70" i="7"/>
  <c r="S61" i="7"/>
  <c r="Q59" i="7"/>
  <c r="S59" i="7"/>
  <c r="M71" i="7"/>
  <c r="N71" i="7" s="1"/>
  <c r="T59" i="7"/>
  <c r="T61" i="7"/>
  <c r="N61" i="7"/>
  <c r="P61" i="7"/>
  <c r="R53" i="7"/>
  <c r="Q61" i="7"/>
  <c r="S53" i="7"/>
  <c r="T53" i="7"/>
  <c r="M73" i="7"/>
  <c r="N73" i="7" s="1"/>
  <c r="M72" i="7"/>
  <c r="N72" i="7" s="1"/>
  <c r="S30" i="1"/>
  <c r="S29" i="1"/>
  <c r="S19" i="1"/>
  <c r="S31" i="1"/>
  <c r="N75" i="7" l="1"/>
  <c r="T75" i="7"/>
  <c r="O75" i="7"/>
  <c r="C67" i="3"/>
  <c r="D67" i="3" s="1"/>
  <c r="B68" i="3"/>
  <c r="O71" i="7"/>
  <c r="O73" i="7"/>
  <c r="O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D3" i="3" l="1"/>
  <c r="U69" i="1"/>
  <c r="U75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<sst xmlns="http://schemas.openxmlformats.org/spreadsheetml/2006/main" count="970" uniqueCount="634">
  <si>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</si>
  <si>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</si>
  <si>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</si>
  <si>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</si>
  <si>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</si>
  <si>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</si>
  <si>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</si>
  <si>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</si>
  <si>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</si>
  <si>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</si>
  <si>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</si>
  <si>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</si>
  <si>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</si>
  <si>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</si>
  <si>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</si>
  <si>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</si>
  <si>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</si>
  <si>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</si>
  <si>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</si>
  <si>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</si>
  <si>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</si>
  <si>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</si>
  <si>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</si>
  <si>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</si>
  <si>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</si>
  <si>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</si>
  <si>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</si>
  <si>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</si>
  <si>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</si>
  <si>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</si>
  <si>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</si>
  <si>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</si>
  <si>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</si>
  <si>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</si>
  <si>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</si>
  <si>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</si>
  <si>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</si>
  <si>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</si>
  <si>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</si>
  <si>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</si>
  <si>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</si>
  <si>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</si>
  <si>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</si>
  <si>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</si>
  <si>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</si>
  <si>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</si>
  <si>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</si>
  <si>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</si>
  <si>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</si>
  <si>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</si>
  <si>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</si>
  <si>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</si>
  <si>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</si>
  <si>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</si>
  <si>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</si>
  <si>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</si>
  <si>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</si>
  <si>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</si>
  <si>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</si>
  <si>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</si>
  <si>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</si>
  <si>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</si>
  <si>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</si>
  <si>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</si>
  <si>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</si>
  <si>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</si>
  <si>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</si>
  <si>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</si>
  <si>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</si>
  <si>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</si>
  <si>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</si>
  <si>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</si>
  <si>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</si>
  <si>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</si>
  <si>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</si>
  <si>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</si>
  <si>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</si>
  <si>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</si>
  <si>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</si>
  <si>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</si>
  <si>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</si>
  <si>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</si>
  <si>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</si>
  <si>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</si>
  <si>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</si>
  <si>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</si>
  <si>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</si>
  <si>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</si>
  <si>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</si>
  <si>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</si>
  <si>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</si>
  <si>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</si>
  <si>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</si>
  <si>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</si>
  <si>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</si>
  <si>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</si>
  <si>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</si>
  <si>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</si>
  <si>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</si>
  <si>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</si>
  <si>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</si>
  <si>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</si>
  <si>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</si>
  <si>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</si>
  <si>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</si>
  <si>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</si>
  <si>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</si>
  <si>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</si>
  <si>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</si>
  <si>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</si>
  <si>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</si>
  <si>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</si>
  <si>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</si>
  <si>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</si>
  <si>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</si>
  <si>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</si>
  <si>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</si>
  <si>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</si>
  <si>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</si>
  <si>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</si>
  <si>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</si>
  <si>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</si>
  <si>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</si>
  <si>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</si>
  <si>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</si>
  <si>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</si>
  <si>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</si>
  <si>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</si>
  <si>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</si>
  <si>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</si>
  <si>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</si>
  <si>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</si>
  <si>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</si>
  <si>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</si>
  <si>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</si>
  <si>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</si>
  <si>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</si>
  <si>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</si>
  <si>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</si>
  <si>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</si>
  <si>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</si>
  <si>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</si>
  <si>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</si>
  <si>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</si>
  <si>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</si>
  <si>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</si>
  <si>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</si>
  <si>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</si>
  <si>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</si>
  <si>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</si>
  <si>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</si>
  <si>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</si>
  <si>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</si>
  <si>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</si>
  <si>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</si>
  <si>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</si>
  <si>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</si>
  <si>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</si>
  <si>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</si>
  <si>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</si>
  <si>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</si>
  <si>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</si>
  <si>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</si>
  <si>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</si>
  <si>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</si>
  <si>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</si>
  <si>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</si>
  <si>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</si>
  <si>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</si>
  <si>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</si>
  <si>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</si>
  <si>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</si>
  <si>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</si>
  <si>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</si>
  <si>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</si>
  <si>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</si>
  <si>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</si>
  <si>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</si>
  <si>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</si>
  <si>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</si>
  <si>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</si>
  <si>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</si>
  <si>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</si>
  <si>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</si>
  <si>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</si>
  <si>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</si>
  <si>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</si>
  <si>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</si>
  <si>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</si>
  <si>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</si>
  <si>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</si>
  <si>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</si>
  <si>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</si>
  <si>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</si>
  <si>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</si>
  <si>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</si>
  <si>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</si>
  <si>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</si>
  <si>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</si>
  <si>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</si>
  <si>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</si>
  <si>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</si>
  <si>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</si>
  <si>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</si>
  <si>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</si>
  <si>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</si>
  <si>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</si>
  <si>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</si>
  <si>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</si>
  <si>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</si>
  <si>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</si>
  <si>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</si>
  <si>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</si>
  <si>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</si>
  <si>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</si>
  <si>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</si>
  <si>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</si>
  <si>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</si>
  <si>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</si>
  <si>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</si>
  <si>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</si>
  <si>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</si>
  <si>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</si>
  <si>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</si>
  <si>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</si>
  <si>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</si>
  <si>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</si>
  <si>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</si>
  <si>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</si>
  <si>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</si>
  <si>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</si>
  <si>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</si>
  <si>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</si>
  <si>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</si>
  <si>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</si>
  <si>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</si>
  <si>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</si>
  <si>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</si>
  <si>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</si>
  <si>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</si>
  <si>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</si>
  <si>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</si>
  <si>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</si>
  <si>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</si>
  <si>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</si>
  <si>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</si>
  <si>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</si>
  <si>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</si>
  <si>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</si>
  <si>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</si>
  <si>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</si>
  <si>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</si>
  <si>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</si>
  <si>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</si>
  <si>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</si>
  <si>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</si>
  <si>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</si>
  <si>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</si>
  <si>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</si>
  <si>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</si>
  <si>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</si>
  <si>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</si>
  <si>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</si>
  <si>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</si>
  <si>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</si>
  <si>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</si>
  <si>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</si>
  <si>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</si>
  <si>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</si>
  <si>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</si>
  <si>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</si>
  <si>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</si>
  <si>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</si>
  <si>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</si>
  <si>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</si>
  <si>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</si>
  <si>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</si>
  <si>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</si>
  <si>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</si>
  <si>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</si>
  <si>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</si>
  <si>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</si>
  <si>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</si>
  <si>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</si>
  <si>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</si>
  <si>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</si>
  <si>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</si>
  <si>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</si>
  <si>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</si>
  <si>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</si>
  <si>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</si>
  <si>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</si>
  <si>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</si>
  <si>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</si>
  <si>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</si>
  <si>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</si>
  <si>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</si>
  <si>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</si>
  <si>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</si>
  <si>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</si>
  <si>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</si>
  <si>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</si>
  <si>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</si>
  <si>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</si>
  <si>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</si>
  <si>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</si>
  <si>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</si>
  <si>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</si>
  <si>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</si>
  <si>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</si>
  <si>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</si>
  <si>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</si>
  <si>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</si>
  <si>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</si>
  <si>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</si>
  <si>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</si>
  <si>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</si>
  <si>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</si>
  <si>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</si>
  <si>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</si>
  <si>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</si>
  <si>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</si>
  <si>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</si>
  <si>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</si>
  <si>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</si>
  <si>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</si>
  <si>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</si>
  <si>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</si>
  <si>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</si>
  <si>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</si>
  <si>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</si>
  <si>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</si>
  <si>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</si>
  <si>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</si>
  <si>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</si>
  <si>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</si>
  <si>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</si>
  <si>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</si>
  <si>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</si>
  <si>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</si>
  <si>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</si>
  <si>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</si>
  <si>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</si>
  <si>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</si>
  <si>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</si>
  <si>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</si>
  <si>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</si>
  <si>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</si>
  <si>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</si>
  <si>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</si>
  <si>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</si>
  <si>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</si>
  <si>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</si>
  <si>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</si>
  <si>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</si>
  <si>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</si>
  <si>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</si>
  <si>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</si>
  <si>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</si>
  <si>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</si>
  <si>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</si>
  <si>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</si>
  <si>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</si>
  <si>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</si>
  <si>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</si>
  <si>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</si>
  <si>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</si>
  <si>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</si>
  <si>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</si>
  <si>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</si>
  <si>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</si>
  <si>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</si>
  <si>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</si>
  <si>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</si>
  <si>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</si>
  <si>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</si>
  <si>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</si>
  <si>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</si>
  <si>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</si>
  <si>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</si>
  <si>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</si>
  <si>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</si>
  <si>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</si>
  <si>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</si>
  <si>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</si>
  <si>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</si>
  <si>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</si>
  <si>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</si>
  <si>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</si>
  <si>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</si>
  <si>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</si>
  <si>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</si>
  <si>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</si>
  <si>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</si>
  <si>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</si>
  <si>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</si>
  <si>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</si>
  <si>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</si>
  <si>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</si>
  <si>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</si>
  <si>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</si>
  <si>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</si>
  <si>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</si>
  <si>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</si>
  <si>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</si>
  <si>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</si>
  <si>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</si>
  <si>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</si>
  <si>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</si>
  <si>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</si>
  <si>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</si>
  <si>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</si>
  <si>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</si>
  <si>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</si>
  <si>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</si>
  <si>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</si>
  <si>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</si>
  <si>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</si>
  <si>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</si>
  <si>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</si>
  <si>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</si>
  <si>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</si>
  <si>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</si>
  <si>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</si>
  <si>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</si>
  <si>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</si>
  <si>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</si>
  <si>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</si>
  <si>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</si>
  <si>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</si>
  <si>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</si>
  <si>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</si>
  <si>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</si>
  <si>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</si>
  <si>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</si>
  <si>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</si>
  <si>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</si>
  <si>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</si>
  <si>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</si>
  <si>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</si>
  <si>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</si>
  <si>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</si>
  <si>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</si>
  <si>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</si>
  <si>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</si>
  <si>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</si>
  <si>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</si>
  <si>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</si>
  <si>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</si>
  <si>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</si>
  <si>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</si>
  <si>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</si>
  <si>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</si>
  <si>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</si>
  <si>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</si>
  <si>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</si>
  <si>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</si>
  <si>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</si>
  <si>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</si>
  <si>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</si>
  <si>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</si>
  <si>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</si>
  <si>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</si>
  <si>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</si>
  <si>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</si>
  <si>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</si>
  <si>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</si>
  <si>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</si>
  <si>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</si>
  <si>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</si>
  <si>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</si>
  <si>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</si>
  <si>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</si>
  <si>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</si>
  <si>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</si>
  <si>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</si>
  <si>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</si>
  <si>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</si>
  <si>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</si>
  <si>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</si>
  <si>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</si>
  <si>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</si>
  <si>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</si>
  <si>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</si>
  <si>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</si>
  <si>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</si>
  <si>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</si>
  <si>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</si>
  <si>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</si>
  <si>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</si>
  <si>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</si>
  <si>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</si>
  <si>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</si>
  <si>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</si>
  <si>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</si>
  <si>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</si>
  <si>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</si>
  <si>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</si>
  <si>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</si>
  <si>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</si>
  <si>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</si>
  <si>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</si>
  <si>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</si>
  <si>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</si>
  <si>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</si>
  <si>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</si>
  <si>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</si>
  <si>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</si>
  <si>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</si>
  <si>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</si>
  <si>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</si>
  <si>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</si>
  <si>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</si>
  <si>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</si>
  <si>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</si>
  <si>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</si>
  <si>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</si>
  <si>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</si>
  <si>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</si>
  <si>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</si>
  <si>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</si>
  <si>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</si>
  <si>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</si>
  <si>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</si>
  <si>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</si>
  <si>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</si>
  <si>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</si>
  <si>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</si>
  <si>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</si>
  <si>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</si>
  <si>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</si>
  <si>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</si>
  <si>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</si>
  <si>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</si>
  <si>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</si>
  <si>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</si>
  <si>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</si>
  <si>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</si>
  <si>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</si>
  <si>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</si>
  <si>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</si>
  <si>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</si>
  <si>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</si>
  <si>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</si>
  <si>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</si>
  <si>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</si>
  <si>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</si>
  <si>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</si>
  <si>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</si>
  <si>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</si>
  <si>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</si>
  <si>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</si>
  <si>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</si>
  <si>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</si>
  <si>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</si>
  <si>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</si>
  <si>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</si>
  <si>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</si>
  <si>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</si>
  <si>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</si>
  <si>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</si>
  <si>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</si>
  <si>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</si>
  <si>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</si>
  <si>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</si>
  <si>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</si>
  <si>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</si>
  <si>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</si>
  <si>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</si>
  <si>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</si>
  <si>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</si>
  <si>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</si>
  <si>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</si>
  <si>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</si>
  <si>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</si>
  <si>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</si>
  <si>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</si>
  <si>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</si>
  <si>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</si>
  <si>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</si>
  <si>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</si>
  <si>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</si>
  <si>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</si>
  <si>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</si>
  <si>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</si>
  <si>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</si>
  <si>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</si>
  <si>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</si>
  <si>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</si>
  <si>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</si>
  <si>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</si>
  <si>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</si>
  <si>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</si>
  <si>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</si>
  <si>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</si>
  <si>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</si>
  <si>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</si>
  <si>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</si>
  <si>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</si>
  <si>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</si>
  <si>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</si>
  <si>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</si>
  <si>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</si>
  <si>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</si>
  <si>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</si>
  <si>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</si>
  <si>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</si>
  <si>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</si>
  <si>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</si>
  <si>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</si>
  <si>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</si>
  <si>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</si>
  <si>
    <t>DDOG</t>
  </si>
  <si>
    <t>Datadog</t>
  </si>
  <si>
    <t>LCII</t>
  </si>
  <si>
    <t>LCI Industries</t>
  </si>
  <si>
    <t>TSM</t>
  </si>
  <si>
    <t>Taiwan Semiconductor</t>
  </si>
  <si>
    <t>ACAD</t>
  </si>
  <si>
    <t>Acadia Pharmaceuticals</t>
  </si>
  <si>
    <t>IWM</t>
  </si>
  <si>
    <t>iShares Russell 2000 ETF</t>
  </si>
  <si>
    <t>Long Small Cap vs Broad Mkt</t>
  </si>
  <si>
    <t>SPY</t>
  </si>
  <si>
    <t>S&amp;P500 ETF</t>
  </si>
  <si>
    <t>WAT</t>
  </si>
  <si>
    <t>Waters Corporation</t>
  </si>
  <si>
    <t>TMO</t>
  </si>
  <si>
    <t>Thermo Fisher Scientific</t>
  </si>
  <si>
    <t>6EZ6</t>
  </si>
  <si>
    <t>Long Gold vs Short Copper</t>
  </si>
  <si>
    <t>MHG</t>
  </si>
  <si>
    <t>Copper Futures</t>
  </si>
  <si>
    <t>MHGZ6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</si>
</sst>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  <xf numFmtId="1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5"/>
  <sheetViews>
    <sheetView tabSelected="1" zoomScaleNormal="100" workbookViewId="0">
      <pane ySplit="1" topLeftCell="A44" activePane="bottomLeft" state="frozen"/>
      <selection activeCell="D1" sqref="D1"/>
      <selection pane="bottomLeft" activeCell="E66" sqref="E66"/>
    </sheetView>
  </sheetViews>
  <sheetFormatPr baseColWidth="10" defaultColWidth="9.1640625" defaultRowHeight="21" x14ac:dyDescent="0.25"/>
  <cols>
    <col min="1" max="1" width="10.5" style="33" bestFit="1" customWidth="1"/>
    <col min="2" max="3" width="14" style="51" bestFit="1" customWidth="1"/>
    <col min="4" max="4" width="16.5" style="46" customWidth="1"/>
    <col min="5" max="5" width="9" style="33" bestFit="1" customWidth="1"/>
    <col min="6" max="6" width="57.6640625" style="33" bestFit="1" customWidth="1"/>
    <col min="7" max="7" width="13.33203125" style="33" bestFit="1" customWidth="1"/>
    <col min="8" max="8" width="43.164062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8.16406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9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42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122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9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529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9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122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9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530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9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529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9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42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42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122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9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42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42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531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9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530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9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42">
        <v>4149.45</v>
      </c>
      <c r="U16" s="44">
        <v>4149.45</v>
      </c>
    </row>
    <row r="17" spans="1:21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Q17" s="33">
        <v>4.5999999999999996</v>
      </c>
      <c r="R17" s="33">
        <v>1</v>
      </c>
      <c r="S17" s="40">
        <f t="shared" si="3"/>
        <v>4.9999102817154174E-2</v>
      </c>
      <c r="T17" s="39">
        <v>11150</v>
      </c>
      <c r="U17" s="41">
        <v>11150</v>
      </c>
    </row>
    <row r="18" spans="1:21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Q18" s="33">
        <v>6.8</v>
      </c>
      <c r="R18" s="33">
        <v>1</v>
      </c>
      <c r="S18" s="40">
        <f t="shared" si="3"/>
        <v>2.0001183501982336E-2</v>
      </c>
      <c r="T18" s="39">
        <v>2033</v>
      </c>
      <c r="U18" s="41">
        <v>2033</v>
      </c>
    </row>
    <row r="19" spans="1:21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9">
        <v>177</v>
      </c>
      <c r="U19" s="41">
        <v>177</v>
      </c>
    </row>
    <row r="20" spans="1:21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532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9">
        <v>4060</v>
      </c>
      <c r="U20" s="41">
        <v>4060</v>
      </c>
    </row>
    <row r="21" spans="1:21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9">
        <v>1420</v>
      </c>
      <c r="U21" s="41">
        <v>0</v>
      </c>
    </row>
    <row r="22" spans="1:21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533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9">
        <v>1418</v>
      </c>
      <c r="U22" s="41">
        <v>2838</v>
      </c>
    </row>
    <row r="23" spans="1:21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530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9">
        <v>6742</v>
      </c>
      <c r="U23" s="41">
        <v>6742</v>
      </c>
    </row>
    <row r="24" spans="1:21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529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9">
        <v>1245</v>
      </c>
      <c r="U24" s="41">
        <v>1245</v>
      </c>
    </row>
    <row r="25" spans="1:21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529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6" si="4">IF(R25=1, ABS(N25-M25)/M25, 0)</f>
        <v>3.9539800653504951E-3</v>
      </c>
      <c r="T25" s="39">
        <v>1710</v>
      </c>
      <c r="U25" s="41">
        <v>1710</v>
      </c>
    </row>
    <row r="26" spans="1:21" x14ac:dyDescent="0.25">
      <c r="A26" s="33">
        <v>21</v>
      </c>
      <c r="B26" s="34">
        <v>46258</v>
      </c>
      <c r="C26" s="34">
        <v>46259</v>
      </c>
      <c r="D26" s="35">
        <f t="shared" ref="D26:D62" si="5">C26-B26</f>
        <v>1</v>
      </c>
      <c r="E26" s="33" t="s">
        <v>88</v>
      </c>
      <c r="F26" s="36" t="s">
        <v>52</v>
      </c>
      <c r="G26" s="33" t="s">
        <v>23</v>
      </c>
      <c r="H26" s="36" t="s">
        <v>24</v>
      </c>
      <c r="I26" s="33" t="s">
        <v>32</v>
      </c>
      <c r="J26" s="33" t="s">
        <v>122</v>
      </c>
      <c r="K26" s="33" t="s">
        <v>89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9">
        <v>715</v>
      </c>
      <c r="U26" s="41">
        <v>715</v>
      </c>
    </row>
    <row r="27" spans="1:21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90</v>
      </c>
      <c r="F27" s="36" t="s">
        <v>91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90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9">
        <v>3498</v>
      </c>
      <c r="U27" s="41">
        <v>3498</v>
      </c>
    </row>
    <row r="28" spans="1:21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92</v>
      </c>
      <c r="F28" s="36" t="s">
        <v>93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92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9">
        <v>1809</v>
      </c>
      <c r="U28" s="41">
        <v>1809</v>
      </c>
    </row>
    <row r="29" spans="1:21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94</v>
      </c>
      <c r="F29" s="36" t="s">
        <v>95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94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9">
        <v>2891</v>
      </c>
      <c r="U29" s="41">
        <v>2891</v>
      </c>
    </row>
    <row r="30" spans="1:21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96</v>
      </c>
      <c r="F30" s="36" t="s">
        <v>97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96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9">
        <v>-642</v>
      </c>
      <c r="U30" s="45">
        <v>-642</v>
      </c>
    </row>
    <row r="31" spans="1:21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98</v>
      </c>
      <c r="F31" s="36" t="s">
        <v>99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98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9">
        <v>4108</v>
      </c>
      <c r="U31" s="41">
        <v>4108</v>
      </c>
    </row>
    <row r="32" spans="1:21" x14ac:dyDescent="0.25">
      <c r="A32" s="33">
        <v>27</v>
      </c>
      <c r="B32" s="34">
        <v>46266</v>
      </c>
      <c r="C32" s="34">
        <v>46283</v>
      </c>
      <c r="D32" s="35">
        <f t="shared" si="5"/>
        <v>17</v>
      </c>
      <c r="E32" s="33" t="s">
        <v>100</v>
      </c>
      <c r="F32" s="36" t="s">
        <v>101</v>
      </c>
      <c r="G32" s="33" t="s">
        <v>23</v>
      </c>
      <c r="H32" s="36" t="s">
        <v>24</v>
      </c>
      <c r="I32" s="33" t="s">
        <v>25</v>
      </c>
      <c r="J32" s="33" t="s">
        <v>25</v>
      </c>
      <c r="K32" s="33" t="s">
        <v>100</v>
      </c>
      <c r="L32" s="33">
        <v>-8000</v>
      </c>
      <c r="M32" s="33">
        <v>50.59</v>
      </c>
      <c r="N32" s="33">
        <v>49.67</v>
      </c>
      <c r="O32" s="33">
        <v>49.67</v>
      </c>
      <c r="P32" s="39">
        <v>397331</v>
      </c>
      <c r="Q32" s="33">
        <v>45.99</v>
      </c>
      <c r="R32" s="33">
        <v>1</v>
      </c>
      <c r="S32" s="40">
        <f t="shared" si="4"/>
        <v>1.8185412136785959E-2</v>
      </c>
      <c r="T32" s="39">
        <v>7389</v>
      </c>
      <c r="U32" s="41">
        <v>7389</v>
      </c>
    </row>
    <row r="33" spans="1:22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580</v>
      </c>
      <c r="F33" s="36" t="s">
        <v>581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580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9">
        <v>2247</v>
      </c>
      <c r="U33" s="41">
        <v>2247</v>
      </c>
    </row>
    <row r="34" spans="1:22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98</v>
      </c>
      <c r="F34" s="36" t="s">
        <v>99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98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9">
        <v>1253</v>
      </c>
      <c r="U34" s="41">
        <v>1253</v>
      </c>
    </row>
    <row r="35" spans="1:22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582</v>
      </c>
      <c r="F35" s="36" t="s">
        <v>583</v>
      </c>
      <c r="G35" s="33" t="s">
        <v>23</v>
      </c>
      <c r="H35" s="36" t="s">
        <v>24</v>
      </c>
      <c r="I35" s="33" t="s">
        <v>32</v>
      </c>
      <c r="J35" s="33" t="s">
        <v>533</v>
      </c>
      <c r="K35" s="33" t="s">
        <v>582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9">
        <v>141</v>
      </c>
      <c r="U35" s="41">
        <v>141</v>
      </c>
    </row>
    <row r="36" spans="1:22" x14ac:dyDescent="0.25">
      <c r="A36" s="33">
        <v>31</v>
      </c>
      <c r="B36" s="34">
        <v>46275</v>
      </c>
      <c r="C36" s="34">
        <v>46283</v>
      </c>
      <c r="D36" s="35">
        <f t="shared" si="5"/>
        <v>8</v>
      </c>
      <c r="E36" s="33" t="s">
        <v>56</v>
      </c>
      <c r="F36" s="36" t="s">
        <v>584</v>
      </c>
      <c r="G36" s="33" t="s">
        <v>23</v>
      </c>
      <c r="H36" s="36" t="s">
        <v>24</v>
      </c>
      <c r="I36" s="33" t="s">
        <v>25</v>
      </c>
      <c r="J36" s="33" t="s">
        <v>25</v>
      </c>
      <c r="K36" s="33" t="s">
        <v>56</v>
      </c>
      <c r="L36" s="33">
        <v>-280</v>
      </c>
      <c r="M36" s="33">
        <v>674.59</v>
      </c>
      <c r="N36" s="33">
        <v>688</v>
      </c>
      <c r="O36" s="33">
        <v>688</v>
      </c>
      <c r="P36" s="39">
        <v>188496</v>
      </c>
      <c r="Q36" s="33">
        <v>4.5</v>
      </c>
      <c r="R36" s="33">
        <v>0</v>
      </c>
      <c r="S36" s="40">
        <f t="shared" si="4"/>
        <v>0</v>
      </c>
      <c r="T36" s="39">
        <v>-3825</v>
      </c>
      <c r="U36" s="45">
        <v>-3825</v>
      </c>
    </row>
    <row r="37" spans="1:22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585</v>
      </c>
      <c r="F37" s="36" t="s">
        <v>586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585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40" si="6">IF(R37=1, ABS(N37-M37)/M37, 0)</f>
        <v>1.2137203166226873E-2</v>
      </c>
      <c r="T37" s="39">
        <v>345</v>
      </c>
      <c r="U37" s="41">
        <v>345</v>
      </c>
    </row>
    <row r="38" spans="1:22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587</v>
      </c>
      <c r="F38" s="36" t="s">
        <v>588</v>
      </c>
      <c r="G38" s="33" t="s">
        <v>23</v>
      </c>
      <c r="H38" s="36" t="s">
        <v>24</v>
      </c>
      <c r="I38" s="33" t="s">
        <v>32</v>
      </c>
      <c r="J38" s="33" t="s">
        <v>120</v>
      </c>
      <c r="K38" s="33" t="s">
        <v>587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9">
        <v>220</v>
      </c>
      <c r="U38" s="41">
        <v>220</v>
      </c>
    </row>
    <row r="39" spans="1:22" x14ac:dyDescent="0.25">
      <c r="A39" s="33">
        <v>34</v>
      </c>
      <c r="B39" s="34">
        <v>46281</v>
      </c>
      <c r="C39" s="34">
        <v>46288</v>
      </c>
      <c r="D39" s="35">
        <f t="shared" si="5"/>
        <v>7</v>
      </c>
      <c r="E39" s="33" t="s">
        <v>590</v>
      </c>
      <c r="F39" s="36" t="s">
        <v>591</v>
      </c>
      <c r="G39" s="33" t="s">
        <v>23</v>
      </c>
      <c r="H39" s="36" t="s">
        <v>24</v>
      </c>
      <c r="I39" s="33" t="s">
        <v>48</v>
      </c>
      <c r="J39" s="33" t="s">
        <v>48</v>
      </c>
      <c r="K39" s="33" t="s">
        <v>590</v>
      </c>
      <c r="L39" s="33">
        <v>2000</v>
      </c>
      <c r="M39" s="33">
        <v>45.205500000000001</v>
      </c>
      <c r="N39" s="33">
        <v>46.289000000000001</v>
      </c>
      <c r="O39" s="33">
        <v>46.289000000000001</v>
      </c>
      <c r="P39" s="39">
        <f>ABS(M39*L39)</f>
        <v>90411</v>
      </c>
      <c r="Q39" s="33">
        <v>23.76</v>
      </c>
      <c r="R39" s="33">
        <v>1</v>
      </c>
      <c r="S39" s="40">
        <f t="shared" si="6"/>
        <v>2.3968322438641332E-2</v>
      </c>
      <c r="T39" s="39">
        <v>2167</v>
      </c>
      <c r="U39" s="41">
        <v>2167</v>
      </c>
    </row>
    <row r="40" spans="1:22" x14ac:dyDescent="0.25">
      <c r="A40" s="33">
        <v>35</v>
      </c>
      <c r="B40" s="34">
        <v>46283</v>
      </c>
      <c r="C40" s="34">
        <v>46288</v>
      </c>
      <c r="D40" s="35">
        <f t="shared" si="5"/>
        <v>5</v>
      </c>
      <c r="E40" s="33" t="s">
        <v>592</v>
      </c>
      <c r="F40" s="36" t="s">
        <v>593</v>
      </c>
      <c r="G40" s="33" t="s">
        <v>23</v>
      </c>
      <c r="H40" s="36" t="s">
        <v>24</v>
      </c>
      <c r="I40" s="33" t="s">
        <v>25</v>
      </c>
      <c r="J40" s="33" t="s">
        <v>25</v>
      </c>
      <c r="K40" s="33" t="s">
        <v>592</v>
      </c>
      <c r="L40" s="33">
        <v>1000</v>
      </c>
      <c r="M40" s="33">
        <v>35.601500000000001</v>
      </c>
      <c r="N40" s="33">
        <v>35.162700000000001</v>
      </c>
      <c r="O40" s="33">
        <v>35.162700000000001</v>
      </c>
      <c r="P40" s="39">
        <f>ABS(M40*L40)</f>
        <v>35601.5</v>
      </c>
      <c r="Q40" s="33">
        <v>7.57</v>
      </c>
      <c r="R40" s="33">
        <v>0</v>
      </c>
      <c r="S40" s="40">
        <f t="shared" si="6"/>
        <v>0</v>
      </c>
      <c r="T40" s="39">
        <v>-438</v>
      </c>
      <c r="U40" s="45">
        <v>-438</v>
      </c>
    </row>
    <row r="41" spans="1:22" x14ac:dyDescent="0.25">
      <c r="A41" s="33">
        <v>36</v>
      </c>
      <c r="B41" s="34">
        <v>46286</v>
      </c>
      <c r="C41" s="34">
        <v>46288</v>
      </c>
      <c r="D41" s="35">
        <f t="shared" si="5"/>
        <v>2</v>
      </c>
      <c r="E41" s="33" t="s">
        <v>594</v>
      </c>
      <c r="F41" s="36" t="s">
        <v>595</v>
      </c>
      <c r="G41" s="33" t="s">
        <v>23</v>
      </c>
      <c r="H41" s="36" t="s">
        <v>24</v>
      </c>
      <c r="I41" s="33" t="s">
        <v>25</v>
      </c>
      <c r="J41" s="33" t="s">
        <v>25</v>
      </c>
      <c r="K41" s="33" t="s">
        <v>594</v>
      </c>
      <c r="L41" s="33">
        <v>700</v>
      </c>
      <c r="M41" s="33">
        <v>79.950999999999993</v>
      </c>
      <c r="N41" s="33">
        <v>79.498000000000005</v>
      </c>
      <c r="O41" s="33">
        <v>79.498000000000005</v>
      </c>
      <c r="P41" s="39">
        <v>55902</v>
      </c>
      <c r="Q41" s="33">
        <v>5.63</v>
      </c>
      <c r="R41" s="33">
        <v>0</v>
      </c>
      <c r="S41" s="40">
        <f t="shared" ref="S41:S44" si="7">IF(R41=1, ABS(N41-M41)/M41, 0)</f>
        <v>0</v>
      </c>
      <c r="T41" s="39">
        <v>-317</v>
      </c>
      <c r="U41" s="45">
        <v>-317</v>
      </c>
    </row>
    <row r="42" spans="1:22" x14ac:dyDescent="0.25">
      <c r="A42" s="33">
        <v>37</v>
      </c>
      <c r="B42" s="34">
        <v>46286</v>
      </c>
      <c r="C42" s="34">
        <v>46288</v>
      </c>
      <c r="D42" s="35">
        <f t="shared" si="5"/>
        <v>2</v>
      </c>
      <c r="E42" s="33" t="s">
        <v>596</v>
      </c>
      <c r="F42" s="36" t="s">
        <v>597</v>
      </c>
      <c r="G42" s="33" t="s">
        <v>23</v>
      </c>
      <c r="H42" s="36" t="s">
        <v>24</v>
      </c>
      <c r="I42" s="33" t="s">
        <v>25</v>
      </c>
      <c r="J42" s="33" t="s">
        <v>25</v>
      </c>
      <c r="K42" s="33" t="s">
        <v>596</v>
      </c>
      <c r="L42" s="33">
        <v>300</v>
      </c>
      <c r="M42" s="33">
        <v>298.27</v>
      </c>
      <c r="N42" s="33">
        <v>304.00940000000003</v>
      </c>
      <c r="O42" s="33">
        <v>304.00940000000003</v>
      </c>
      <c r="P42" s="39">
        <f>M42*L42</f>
        <v>89481</v>
      </c>
      <c r="Q42" s="33">
        <v>4.5599999999999996</v>
      </c>
      <c r="R42" s="33">
        <v>1</v>
      </c>
      <c r="S42" s="40">
        <f t="shared" si="7"/>
        <v>1.9242297247460509E-2</v>
      </c>
      <c r="T42" s="39">
        <v>1721</v>
      </c>
      <c r="U42" s="41">
        <v>1721</v>
      </c>
    </row>
    <row r="43" spans="1:22" x14ac:dyDescent="0.25">
      <c r="A43" s="33">
        <v>38</v>
      </c>
      <c r="B43" s="34">
        <v>46286</v>
      </c>
      <c r="C43" s="34">
        <v>46301</v>
      </c>
      <c r="D43" s="35">
        <f t="shared" si="5"/>
        <v>15</v>
      </c>
      <c r="E43" s="33" t="s">
        <v>598</v>
      </c>
      <c r="F43" s="36" t="s">
        <v>599</v>
      </c>
      <c r="G43" s="33" t="s">
        <v>23</v>
      </c>
      <c r="H43" s="36" t="s">
        <v>24</v>
      </c>
      <c r="I43" s="33" t="s">
        <v>25</v>
      </c>
      <c r="J43" s="33" t="s">
        <v>25</v>
      </c>
      <c r="K43" s="33" t="s">
        <v>598</v>
      </c>
      <c r="L43" s="33">
        <v>-700</v>
      </c>
      <c r="M43" s="33">
        <v>162.33920000000001</v>
      </c>
      <c r="N43" s="33">
        <v>166.36</v>
      </c>
      <c r="O43" s="33">
        <v>166.36</v>
      </c>
      <c r="P43" s="39">
        <f>ABS(O43*L43)</f>
        <v>116452.00000000001</v>
      </c>
      <c r="Q43" s="33">
        <v>11.47</v>
      </c>
      <c r="R43" s="33">
        <v>0</v>
      </c>
      <c r="S43" s="40">
        <f t="shared" si="7"/>
        <v>0</v>
      </c>
      <c r="T43" s="39">
        <v>-2814</v>
      </c>
      <c r="U43" s="45">
        <v>-2814</v>
      </c>
    </row>
    <row r="44" spans="1:22" x14ac:dyDescent="0.25">
      <c r="A44" s="33">
        <v>39</v>
      </c>
      <c r="B44" s="34">
        <v>46286</v>
      </c>
      <c r="C44" s="34">
        <v>46288</v>
      </c>
      <c r="D44" s="35">
        <f t="shared" si="5"/>
        <v>2</v>
      </c>
      <c r="E44" s="33" t="s">
        <v>600</v>
      </c>
      <c r="F44" s="36" t="s">
        <v>601</v>
      </c>
      <c r="G44" s="33" t="s">
        <v>23</v>
      </c>
      <c r="H44" s="36" t="s">
        <v>24</v>
      </c>
      <c r="I44" s="33" t="s">
        <v>25</v>
      </c>
      <c r="J44" s="33" t="s">
        <v>25</v>
      </c>
      <c r="K44" s="33" t="s">
        <v>600</v>
      </c>
      <c r="L44" s="33">
        <v>400</v>
      </c>
      <c r="M44" s="33">
        <v>310.77999999999997</v>
      </c>
      <c r="N44" s="33">
        <v>313.61399999999998</v>
      </c>
      <c r="O44" s="33">
        <v>313.61399999999998</v>
      </c>
      <c r="P44" s="39">
        <f>ABS(M44*L44)</f>
        <v>124311.99999999999</v>
      </c>
      <c r="Q44" s="33">
        <v>6.5</v>
      </c>
      <c r="R44" s="33">
        <v>1</v>
      </c>
      <c r="S44" s="40">
        <f t="shared" si="7"/>
        <v>9.1189909260570284E-3</v>
      </c>
      <c r="T44" s="39">
        <v>1134</v>
      </c>
      <c r="U44" s="41">
        <v>1134</v>
      </c>
    </row>
    <row r="45" spans="1:22" x14ac:dyDescent="0.25">
      <c r="A45" s="33">
        <v>40</v>
      </c>
      <c r="B45" s="34">
        <v>46286</v>
      </c>
      <c r="C45" s="34">
        <v>46286</v>
      </c>
      <c r="D45" s="35">
        <f t="shared" si="5"/>
        <v>0</v>
      </c>
      <c r="E45" s="33" t="s">
        <v>79</v>
      </c>
      <c r="F45" s="36" t="s">
        <v>602</v>
      </c>
      <c r="G45" s="33" t="s">
        <v>23</v>
      </c>
      <c r="H45" s="36" t="s">
        <v>24</v>
      </c>
      <c r="I45" s="33" t="s">
        <v>32</v>
      </c>
      <c r="J45" s="33" t="s">
        <v>533</v>
      </c>
      <c r="K45" s="33" t="s">
        <v>79</v>
      </c>
      <c r="L45" s="33">
        <v>-4</v>
      </c>
      <c r="M45" s="33">
        <v>7840.75</v>
      </c>
      <c r="N45" s="33">
        <v>7835.5</v>
      </c>
      <c r="O45" s="33">
        <v>7835.5</v>
      </c>
      <c r="P45" s="39">
        <v>156718</v>
      </c>
      <c r="Q45" s="33">
        <v>4.88</v>
      </c>
      <c r="R45" s="33">
        <v>1</v>
      </c>
      <c r="S45" s="40">
        <f t="shared" ref="S45:S48" si="8">IF(R45=1, ABS(N45-M45)/M45, 0)</f>
        <v>6.6957880304817775E-4</v>
      </c>
      <c r="T45" s="39">
        <v>108</v>
      </c>
      <c r="U45" s="41">
        <v>108</v>
      </c>
    </row>
    <row r="46" spans="1:22" x14ac:dyDescent="0.25">
      <c r="A46" s="33">
        <v>41</v>
      </c>
      <c r="B46" s="34">
        <v>46287</v>
      </c>
      <c r="C46" s="34">
        <v>46288</v>
      </c>
      <c r="D46" s="35">
        <f t="shared" si="5"/>
        <v>1</v>
      </c>
      <c r="E46" s="33" t="s">
        <v>603</v>
      </c>
      <c r="F46" s="36" t="s">
        <v>604</v>
      </c>
      <c r="G46" s="33" t="s">
        <v>23</v>
      </c>
      <c r="H46" s="36" t="s">
        <v>24</v>
      </c>
      <c r="I46" s="33" t="s">
        <v>25</v>
      </c>
      <c r="J46" s="33" t="s">
        <v>25</v>
      </c>
      <c r="K46" s="33" t="s">
        <v>603</v>
      </c>
      <c r="L46" s="33">
        <v>2000</v>
      </c>
      <c r="M46" s="33">
        <v>18.71</v>
      </c>
      <c r="N46" s="33">
        <v>18.376999999999999</v>
      </c>
      <c r="O46" s="33">
        <v>18.376999999999999</v>
      </c>
      <c r="P46" s="39">
        <f>ABS(M46*L46)</f>
        <v>37420</v>
      </c>
      <c r="Q46" s="33">
        <v>22.69</v>
      </c>
      <c r="R46" s="33">
        <v>0</v>
      </c>
      <c r="S46" s="40">
        <f t="shared" si="8"/>
        <v>0</v>
      </c>
      <c r="T46" s="39">
        <v>-664</v>
      </c>
      <c r="U46" s="45">
        <v>-664</v>
      </c>
    </row>
    <row r="47" spans="1:22" x14ac:dyDescent="0.25">
      <c r="A47" s="33">
        <v>42</v>
      </c>
      <c r="B47" s="34">
        <v>46288</v>
      </c>
      <c r="C47" s="55">
        <v>46302</v>
      </c>
      <c r="D47" s="56">
        <f t="shared" si="5"/>
        <v>14</v>
      </c>
      <c r="E47" s="47" t="s">
        <v>605</v>
      </c>
      <c r="F47" s="48" t="s">
        <v>606</v>
      </c>
      <c r="G47" s="47" t="s">
        <v>23</v>
      </c>
      <c r="H47" s="48" t="s">
        <v>24</v>
      </c>
      <c r="I47" s="47" t="s">
        <v>25</v>
      </c>
      <c r="J47" s="47" t="s">
        <v>25</v>
      </c>
      <c r="K47" s="47" t="s">
        <v>605</v>
      </c>
      <c r="L47" s="47">
        <v>-600</v>
      </c>
      <c r="M47" s="47">
        <v>268.09100000000001</v>
      </c>
      <c r="N47" s="47" t="s">
        <v>72</v>
      </c>
      <c r="O47" s="47">
        <v>263.01</v>
      </c>
      <c r="P47" s="49">
        <f>ABS(O47*L47)</f>
        <v>157806</v>
      </c>
      <c r="Q47" s="47">
        <v>10.1</v>
      </c>
      <c r="R47" s="47" t="s">
        <v>72</v>
      </c>
      <c r="S47" s="50" t="s">
        <v>72</v>
      </c>
      <c r="T47" s="49" t="s">
        <v>72</v>
      </c>
      <c r="U47" s="49" t="s">
        <v>72</v>
      </c>
      <c r="V47" s="33">
        <f>(M47-O47)*600</f>
        <v>3048.6000000000104</v>
      </c>
    </row>
    <row r="48" spans="1:22" x14ac:dyDescent="0.25">
      <c r="A48" s="33">
        <v>43</v>
      </c>
      <c r="B48" s="34">
        <v>46288</v>
      </c>
      <c r="C48" s="34">
        <v>46296</v>
      </c>
      <c r="D48" s="35">
        <f t="shared" si="5"/>
        <v>8</v>
      </c>
      <c r="E48" s="33" t="s">
        <v>58</v>
      </c>
      <c r="F48" s="36" t="s">
        <v>59</v>
      </c>
      <c r="G48" s="33" t="s">
        <v>23</v>
      </c>
      <c r="H48" s="36" t="s">
        <v>24</v>
      </c>
      <c r="I48" s="33" t="s">
        <v>32</v>
      </c>
      <c r="J48" s="33" t="s">
        <v>531</v>
      </c>
      <c r="K48" s="33" t="s">
        <v>607</v>
      </c>
      <c r="L48" s="33">
        <v>30</v>
      </c>
      <c r="M48" s="33">
        <v>17.652000000000001</v>
      </c>
      <c r="N48" s="33">
        <v>18.277999999999999</v>
      </c>
      <c r="O48" s="33">
        <v>18.277999999999999</v>
      </c>
      <c r="P48" s="39">
        <f>ABS(M48*L48)*100</f>
        <v>52956.000000000007</v>
      </c>
      <c r="Q48" s="33">
        <v>27.6</v>
      </c>
      <c r="R48" s="33">
        <v>1</v>
      </c>
      <c r="S48" s="40">
        <f t="shared" si="8"/>
        <v>3.5463403580330705E-2</v>
      </c>
      <c r="T48" s="39">
        <v>1895</v>
      </c>
      <c r="U48" s="41">
        <v>1895</v>
      </c>
    </row>
    <row r="49" spans="1:22" x14ac:dyDescent="0.25">
      <c r="A49" s="33">
        <v>44</v>
      </c>
      <c r="B49" s="34">
        <v>46289</v>
      </c>
      <c r="C49" s="34">
        <v>46290</v>
      </c>
      <c r="D49" s="35">
        <f t="shared" si="5"/>
        <v>1</v>
      </c>
      <c r="E49" s="33" t="s">
        <v>608</v>
      </c>
      <c r="F49" s="36" t="s">
        <v>609</v>
      </c>
      <c r="G49" s="33" t="s">
        <v>23</v>
      </c>
      <c r="H49" s="36" t="s">
        <v>24</v>
      </c>
      <c r="I49" s="33" t="s">
        <v>32</v>
      </c>
      <c r="J49" s="33" t="s">
        <v>124</v>
      </c>
      <c r="K49" s="33" t="s">
        <v>610</v>
      </c>
      <c r="L49" s="33">
        <v>-2</v>
      </c>
      <c r="M49" s="33">
        <v>3.327</v>
      </c>
      <c r="N49" s="33">
        <v>3.26</v>
      </c>
      <c r="O49" s="33">
        <v>3.26</v>
      </c>
      <c r="P49" s="39">
        <v>16220</v>
      </c>
      <c r="Q49" s="33">
        <v>5.44</v>
      </c>
      <c r="R49" s="33">
        <v>1</v>
      </c>
      <c r="S49" s="40">
        <f t="shared" ref="S49:S52" si="9">IF(R49=1, ABS(N49-M49)/M49, 0)</f>
        <v>2.0138262699128395E-2</v>
      </c>
      <c r="T49" s="39">
        <v>338</v>
      </c>
      <c r="U49" s="41">
        <v>338</v>
      </c>
    </row>
    <row r="50" spans="1:22" x14ac:dyDescent="0.25">
      <c r="A50" s="33">
        <v>45</v>
      </c>
      <c r="B50" s="34">
        <v>46290</v>
      </c>
      <c r="C50" s="34">
        <v>46290</v>
      </c>
      <c r="D50" s="35">
        <f t="shared" si="5"/>
        <v>0</v>
      </c>
      <c r="E50" s="33" t="s">
        <v>612</v>
      </c>
      <c r="F50" s="36" t="s">
        <v>613</v>
      </c>
      <c r="G50" s="33" t="s">
        <v>23</v>
      </c>
      <c r="H50" s="36" t="s">
        <v>24</v>
      </c>
      <c r="I50" s="33" t="s">
        <v>25</v>
      </c>
      <c r="J50" s="33" t="s">
        <v>25</v>
      </c>
      <c r="K50" s="33" t="s">
        <v>612</v>
      </c>
      <c r="L50" s="33">
        <v>-750</v>
      </c>
      <c r="M50" s="33">
        <v>274.52</v>
      </c>
      <c r="N50" s="33">
        <v>271.52999999999997</v>
      </c>
      <c r="O50" s="33">
        <v>271.52999999999997</v>
      </c>
      <c r="P50" s="39">
        <v>205889</v>
      </c>
      <c r="Q50" s="33">
        <v>10.91</v>
      </c>
      <c r="R50" s="33">
        <v>1</v>
      </c>
      <c r="S50" s="40">
        <f t="shared" si="9"/>
        <v>1.0891738306862922E-2</v>
      </c>
      <c r="T50" s="39">
        <v>2245</v>
      </c>
      <c r="U50" s="41">
        <v>2245</v>
      </c>
    </row>
    <row r="51" spans="1:22" x14ac:dyDescent="0.25">
      <c r="A51" s="33">
        <v>46</v>
      </c>
      <c r="B51" s="34">
        <v>46293</v>
      </c>
      <c r="C51" s="34">
        <v>46296</v>
      </c>
      <c r="D51" s="35">
        <f t="shared" si="5"/>
        <v>3</v>
      </c>
      <c r="E51" s="33" t="s">
        <v>614</v>
      </c>
      <c r="F51" s="36" t="s">
        <v>615</v>
      </c>
      <c r="G51" s="33" t="s">
        <v>23</v>
      </c>
      <c r="H51" s="36" t="s">
        <v>24</v>
      </c>
      <c r="I51" s="33" t="s">
        <v>25</v>
      </c>
      <c r="J51" s="33" t="s">
        <v>25</v>
      </c>
      <c r="K51" s="33" t="s">
        <v>614</v>
      </c>
      <c r="L51" s="33">
        <v>700</v>
      </c>
      <c r="M51" s="33">
        <v>84.41</v>
      </c>
      <c r="N51" s="33">
        <v>82.27</v>
      </c>
      <c r="O51" s="33">
        <v>82.27</v>
      </c>
      <c r="P51" s="39">
        <f t="shared" ref="P51:P58" si="10">ABS(M51*L51)</f>
        <v>59087</v>
      </c>
      <c r="Q51" s="33">
        <v>9.65</v>
      </c>
      <c r="R51" s="33">
        <v>0</v>
      </c>
      <c r="S51" s="40">
        <f t="shared" si="9"/>
        <v>0</v>
      </c>
      <c r="T51" s="39">
        <v>-1498</v>
      </c>
      <c r="U51" s="45">
        <v>-1498</v>
      </c>
    </row>
    <row r="52" spans="1:22" x14ac:dyDescent="0.25">
      <c r="A52" s="33">
        <v>47</v>
      </c>
      <c r="B52" s="34">
        <v>46293</v>
      </c>
      <c r="C52" s="34">
        <v>46297</v>
      </c>
      <c r="D52" s="35">
        <f t="shared" si="5"/>
        <v>4</v>
      </c>
      <c r="E52" s="33" t="s">
        <v>616</v>
      </c>
      <c r="F52" s="36" t="s">
        <v>617</v>
      </c>
      <c r="G52" s="33" t="s">
        <v>23</v>
      </c>
      <c r="H52" s="36" t="s">
        <v>24</v>
      </c>
      <c r="I52" s="33" t="s">
        <v>25</v>
      </c>
      <c r="J52" s="33" t="s">
        <v>25</v>
      </c>
      <c r="K52" s="33" t="s">
        <v>616</v>
      </c>
      <c r="L52" s="33">
        <v>-110</v>
      </c>
      <c r="M52" s="33">
        <v>447.99</v>
      </c>
      <c r="N52" s="33">
        <v>466.29</v>
      </c>
      <c r="O52" s="33">
        <v>466.29</v>
      </c>
      <c r="P52" s="39">
        <f t="shared" si="10"/>
        <v>49278.9</v>
      </c>
      <c r="Q52" s="33">
        <v>2.68</v>
      </c>
      <c r="R52" s="33">
        <v>0</v>
      </c>
      <c r="S52" s="40">
        <f t="shared" si="9"/>
        <v>0</v>
      </c>
      <c r="T52" s="39">
        <v>-2013</v>
      </c>
      <c r="U52" s="45">
        <v>-2013</v>
      </c>
    </row>
    <row r="53" spans="1:22" x14ac:dyDescent="0.25">
      <c r="A53" s="33">
        <v>48</v>
      </c>
      <c r="B53" s="34">
        <v>46293</v>
      </c>
      <c r="C53" s="34">
        <v>46295</v>
      </c>
      <c r="D53" s="35">
        <f t="shared" si="5"/>
        <v>2</v>
      </c>
      <c r="E53" s="33" t="s">
        <v>618</v>
      </c>
      <c r="F53" s="36" t="s">
        <v>619</v>
      </c>
      <c r="G53" s="33" t="s">
        <v>23</v>
      </c>
      <c r="H53" s="36" t="s">
        <v>24</v>
      </c>
      <c r="I53" s="33" t="s">
        <v>25</v>
      </c>
      <c r="J53" s="33" t="s">
        <v>25</v>
      </c>
      <c r="K53" s="33" t="s">
        <v>618</v>
      </c>
      <c r="L53" s="33">
        <v>4000</v>
      </c>
      <c r="M53" s="33">
        <v>20.27</v>
      </c>
      <c r="N53" s="33">
        <v>20.21</v>
      </c>
      <c r="O53" s="33">
        <v>20.21</v>
      </c>
      <c r="P53" s="39">
        <f t="shared" si="10"/>
        <v>81080</v>
      </c>
      <c r="Q53" s="33">
        <v>5.4</v>
      </c>
      <c r="R53" s="33">
        <v>0</v>
      </c>
      <c r="S53" s="40">
        <f t="shared" ref="S53:S55" si="11">IF(R53=1, ABS(N53-M53)/M53, 0)</f>
        <v>0</v>
      </c>
      <c r="T53" s="39">
        <v>-214</v>
      </c>
      <c r="U53" s="45">
        <v>-214</v>
      </c>
    </row>
    <row r="54" spans="1:22" x14ac:dyDescent="0.25">
      <c r="A54" s="33">
        <v>49</v>
      </c>
      <c r="B54" s="34">
        <v>46294</v>
      </c>
      <c r="C54" s="34">
        <v>46301</v>
      </c>
      <c r="D54" s="35">
        <f t="shared" si="5"/>
        <v>7</v>
      </c>
      <c r="E54" s="33" t="s">
        <v>620</v>
      </c>
      <c r="F54" s="36" t="s">
        <v>621</v>
      </c>
      <c r="G54" s="33" t="s">
        <v>30</v>
      </c>
      <c r="H54" s="36" t="s">
        <v>622</v>
      </c>
      <c r="I54" s="33" t="s">
        <v>48</v>
      </c>
      <c r="J54" s="33" t="s">
        <v>48</v>
      </c>
      <c r="K54" s="33" t="s">
        <v>620</v>
      </c>
      <c r="L54" s="33">
        <v>400</v>
      </c>
      <c r="M54" s="33">
        <v>281.4135</v>
      </c>
      <c r="N54" s="33">
        <v>282.18</v>
      </c>
      <c r="O54" s="33">
        <v>282.18</v>
      </c>
      <c r="P54" s="39">
        <f t="shared" si="10"/>
        <v>112565.4</v>
      </c>
      <c r="Q54" s="33">
        <v>7.57</v>
      </c>
      <c r="R54" s="33">
        <v>1</v>
      </c>
      <c r="S54" s="40">
        <f t="shared" si="11"/>
        <v>2.7237499267093006E-3</v>
      </c>
      <c r="T54" s="39">
        <v>307</v>
      </c>
      <c r="U54" s="41">
        <v>307</v>
      </c>
    </row>
    <row r="55" spans="1:22" x14ac:dyDescent="0.25">
      <c r="A55" s="33">
        <v>49</v>
      </c>
      <c r="B55" s="34">
        <v>46294</v>
      </c>
      <c r="C55" s="34">
        <v>46301</v>
      </c>
      <c r="D55" s="35">
        <f t="shared" si="5"/>
        <v>7</v>
      </c>
      <c r="E55" s="33" t="s">
        <v>623</v>
      </c>
      <c r="F55" s="36" t="s">
        <v>624</v>
      </c>
      <c r="G55" s="33" t="s">
        <v>30</v>
      </c>
      <c r="H55" s="36" t="s">
        <v>622</v>
      </c>
      <c r="I55" s="33" t="s">
        <v>48</v>
      </c>
      <c r="J55" s="33" t="s">
        <v>48</v>
      </c>
      <c r="K55" s="33" t="s">
        <v>623</v>
      </c>
      <c r="L55" s="33">
        <v>-140</v>
      </c>
      <c r="M55" s="33">
        <v>767.82</v>
      </c>
      <c r="N55" s="33">
        <v>779.63</v>
      </c>
      <c r="O55" s="33">
        <v>779.63</v>
      </c>
      <c r="P55" s="39">
        <f t="shared" si="10"/>
        <v>107494.8</v>
      </c>
      <c r="Q55" s="33">
        <v>4.0199999999999996</v>
      </c>
      <c r="R55" s="33">
        <v>0</v>
      </c>
      <c r="S55" s="40">
        <f t="shared" si="11"/>
        <v>0</v>
      </c>
      <c r="T55" s="39">
        <v>-1653</v>
      </c>
      <c r="U55" s="45">
        <v>-1653</v>
      </c>
    </row>
    <row r="56" spans="1:22" x14ac:dyDescent="0.25">
      <c r="A56" s="33">
        <v>50</v>
      </c>
      <c r="B56" s="34">
        <v>46295</v>
      </c>
      <c r="C56" s="34">
        <v>46296</v>
      </c>
      <c r="D56" s="35">
        <f t="shared" si="5"/>
        <v>1</v>
      </c>
      <c r="E56" s="33" t="s">
        <v>625</v>
      </c>
      <c r="F56" s="36" t="s">
        <v>626</v>
      </c>
      <c r="G56" s="33" t="s">
        <v>23</v>
      </c>
      <c r="H56" s="36" t="s">
        <v>24</v>
      </c>
      <c r="I56" s="33" t="s">
        <v>25</v>
      </c>
      <c r="J56" s="33" t="s">
        <v>25</v>
      </c>
      <c r="K56" s="33" t="s">
        <v>625</v>
      </c>
      <c r="L56" s="33">
        <v>-100</v>
      </c>
      <c r="M56" s="33">
        <v>447</v>
      </c>
      <c r="N56" s="33">
        <v>434.77</v>
      </c>
      <c r="O56" s="33">
        <v>434.77</v>
      </c>
      <c r="P56" s="39">
        <f t="shared" si="10"/>
        <v>44700</v>
      </c>
      <c r="Q56" s="33">
        <v>1.9</v>
      </c>
      <c r="R56" s="33">
        <v>1</v>
      </c>
      <c r="S56" s="40">
        <f t="shared" ref="S56:S63" si="12">IF(R56=1, ABS(N56-M56)/M56, 0)</f>
        <v>2.7360178970917266E-2</v>
      </c>
      <c r="T56" s="39">
        <v>1222</v>
      </c>
      <c r="U56" s="41">
        <v>1222</v>
      </c>
    </row>
    <row r="57" spans="1:22" x14ac:dyDescent="0.25">
      <c r="A57" s="33">
        <v>51</v>
      </c>
      <c r="B57" s="34">
        <v>46295</v>
      </c>
      <c r="C57" s="34">
        <v>46296</v>
      </c>
      <c r="D57" s="35">
        <f t="shared" si="5"/>
        <v>1</v>
      </c>
      <c r="E57" s="33" t="s">
        <v>627</v>
      </c>
      <c r="F57" s="36" t="s">
        <v>628</v>
      </c>
      <c r="G57" s="33" t="s">
        <v>23</v>
      </c>
      <c r="H57" s="36" t="s">
        <v>24</v>
      </c>
      <c r="I57" s="33" t="s">
        <v>25</v>
      </c>
      <c r="J57" s="33" t="s">
        <v>25</v>
      </c>
      <c r="K57" s="33" t="s">
        <v>627</v>
      </c>
      <c r="L57" s="33">
        <v>-100</v>
      </c>
      <c r="M57" s="33">
        <v>674.15</v>
      </c>
      <c r="N57" s="33">
        <v>666.83</v>
      </c>
      <c r="O57" s="33">
        <v>666.83</v>
      </c>
      <c r="P57" s="39">
        <f t="shared" si="10"/>
        <v>67415</v>
      </c>
      <c r="Q57" s="33">
        <v>3.25</v>
      </c>
      <c r="R57" s="33">
        <v>1</v>
      </c>
      <c r="S57" s="40">
        <f t="shared" si="12"/>
        <v>1.0858117629607559E-2</v>
      </c>
      <c r="T57" s="39">
        <v>880</v>
      </c>
      <c r="U57" s="41">
        <v>880</v>
      </c>
    </row>
    <row r="58" spans="1:22" x14ac:dyDescent="0.25">
      <c r="A58" s="33">
        <v>52</v>
      </c>
      <c r="B58" s="34">
        <v>46296</v>
      </c>
      <c r="C58" s="34">
        <v>46296</v>
      </c>
      <c r="D58" s="35">
        <f t="shared" si="5"/>
        <v>0</v>
      </c>
      <c r="E58" s="33" t="s">
        <v>26</v>
      </c>
      <c r="F58" s="36" t="s">
        <v>27</v>
      </c>
      <c r="G58" s="33" t="s">
        <v>23</v>
      </c>
      <c r="H58" s="36" t="s">
        <v>24</v>
      </c>
      <c r="I58" s="33" t="s">
        <v>25</v>
      </c>
      <c r="J58" s="33" t="s">
        <v>25</v>
      </c>
      <c r="K58" s="33" t="s">
        <v>26</v>
      </c>
      <c r="L58" s="33">
        <v>200</v>
      </c>
      <c r="M58" s="33">
        <v>326.27999999999997</v>
      </c>
      <c r="N58" s="33">
        <v>332.03</v>
      </c>
      <c r="O58" s="33">
        <v>332.03</v>
      </c>
      <c r="P58" s="39">
        <f t="shared" si="10"/>
        <v>65255.999999999993</v>
      </c>
      <c r="Q58" s="33">
        <v>2.59</v>
      </c>
      <c r="R58" s="33">
        <v>1</v>
      </c>
      <c r="S58" s="40">
        <f t="shared" si="12"/>
        <v>1.762290057619223E-2</v>
      </c>
      <c r="T58" s="39">
        <v>1058</v>
      </c>
      <c r="U58" s="41">
        <v>1058</v>
      </c>
    </row>
    <row r="59" spans="1:22" x14ac:dyDescent="0.25">
      <c r="A59" s="33">
        <v>53</v>
      </c>
      <c r="B59" s="34">
        <v>46297</v>
      </c>
      <c r="C59" s="55">
        <v>46301</v>
      </c>
      <c r="D59" s="56">
        <f t="shared" si="5"/>
        <v>4</v>
      </c>
      <c r="E59" s="47" t="s">
        <v>58</v>
      </c>
      <c r="F59" s="48" t="s">
        <v>59</v>
      </c>
      <c r="G59" s="47" t="s">
        <v>23</v>
      </c>
      <c r="H59" s="48" t="s">
        <v>24</v>
      </c>
      <c r="I59" s="47" t="s">
        <v>32</v>
      </c>
      <c r="J59" s="47" t="s">
        <v>531</v>
      </c>
      <c r="K59" s="47" t="s">
        <v>607</v>
      </c>
      <c r="L59" s="47">
        <v>10</v>
      </c>
      <c r="M59" s="47">
        <v>17.91</v>
      </c>
      <c r="N59" s="47" t="s">
        <v>72</v>
      </c>
      <c r="O59" s="47">
        <v>17.68</v>
      </c>
      <c r="P59" s="49">
        <f>ABS(M59*L59)*100</f>
        <v>17910</v>
      </c>
      <c r="Q59" s="47">
        <v>1.88</v>
      </c>
      <c r="R59" s="47" t="s">
        <v>72</v>
      </c>
      <c r="S59" s="50" t="s">
        <v>72</v>
      </c>
      <c r="T59" s="49" t="s">
        <v>72</v>
      </c>
      <c r="U59" s="49" t="s">
        <v>72</v>
      </c>
      <c r="V59" s="33">
        <v>-350</v>
      </c>
    </row>
    <row r="60" spans="1:22" x14ac:dyDescent="0.25">
      <c r="A60" s="33">
        <v>54</v>
      </c>
      <c r="B60" s="34">
        <v>46299</v>
      </c>
      <c r="C60" s="34">
        <v>46300</v>
      </c>
      <c r="D60" s="35">
        <f t="shared" si="5"/>
        <v>1</v>
      </c>
      <c r="E60" s="33" t="s">
        <v>34</v>
      </c>
      <c r="F60" s="36" t="s">
        <v>35</v>
      </c>
      <c r="G60" s="33" t="s">
        <v>23</v>
      </c>
      <c r="H60" s="36" t="s">
        <v>24</v>
      </c>
      <c r="I60" s="33" t="s">
        <v>32</v>
      </c>
      <c r="J60" s="33" t="s">
        <v>529</v>
      </c>
      <c r="K60" s="33" t="s">
        <v>629</v>
      </c>
      <c r="L60" s="33">
        <v>10</v>
      </c>
      <c r="M60" s="33">
        <v>1.1225000000000001</v>
      </c>
      <c r="N60" s="33">
        <v>1.1251</v>
      </c>
      <c r="O60" s="33">
        <v>1.1251</v>
      </c>
      <c r="P60" s="39">
        <f>1406000*1.121</f>
        <v>1576126</v>
      </c>
      <c r="Q60" s="33">
        <v>42.5</v>
      </c>
      <c r="R60" s="33">
        <v>1</v>
      </c>
      <c r="S60" s="40">
        <f t="shared" si="12"/>
        <v>2.3162583518930384E-3</v>
      </c>
      <c r="T60" s="39">
        <v>925</v>
      </c>
      <c r="U60" s="41">
        <v>925</v>
      </c>
    </row>
    <row r="61" spans="1:22" x14ac:dyDescent="0.25">
      <c r="A61" s="33">
        <v>55</v>
      </c>
      <c r="B61" s="34">
        <v>46302</v>
      </c>
      <c r="C61" s="34">
        <v>46302</v>
      </c>
      <c r="D61" s="35">
        <f t="shared" si="5"/>
        <v>0</v>
      </c>
      <c r="E61" s="33" t="s">
        <v>34</v>
      </c>
      <c r="F61" s="36" t="s">
        <v>35</v>
      </c>
      <c r="G61" s="33" t="s">
        <v>23</v>
      </c>
      <c r="H61" s="36" t="s">
        <v>24</v>
      </c>
      <c r="I61" s="33" t="s">
        <v>32</v>
      </c>
      <c r="J61" s="33" t="s">
        <v>529</v>
      </c>
      <c r="K61" s="33" t="s">
        <v>629</v>
      </c>
      <c r="L61" s="33">
        <v>15</v>
      </c>
      <c r="M61" s="33">
        <v>1.1217200000000001</v>
      </c>
      <c r="N61" s="33">
        <v>1.12226</v>
      </c>
      <c r="O61" s="33">
        <v>1.12226</v>
      </c>
      <c r="P61" s="39">
        <f>L61*125000*1.121</f>
        <v>2101875</v>
      </c>
      <c r="Q61" s="33">
        <v>73.8</v>
      </c>
      <c r="R61" s="33">
        <v>1</v>
      </c>
      <c r="S61" s="40">
        <f t="shared" si="12"/>
        <v>4.8140355882036952E-4</v>
      </c>
      <c r="T61" s="39">
        <v>1013</v>
      </c>
      <c r="U61" s="41">
        <v>1013</v>
      </c>
    </row>
    <row r="62" spans="1:22" x14ac:dyDescent="0.25">
      <c r="A62" s="33">
        <v>56</v>
      </c>
      <c r="B62" s="34">
        <v>46303</v>
      </c>
      <c r="C62" s="55">
        <v>46304</v>
      </c>
      <c r="D62" s="56">
        <f t="shared" si="5"/>
        <v>1</v>
      </c>
      <c r="E62" s="47" t="s">
        <v>88</v>
      </c>
      <c r="F62" s="48" t="s">
        <v>52</v>
      </c>
      <c r="G62" s="47" t="s">
        <v>30</v>
      </c>
      <c r="H62" s="48" t="s">
        <v>630</v>
      </c>
      <c r="I62" s="47" t="s">
        <v>32</v>
      </c>
      <c r="J62" s="47" t="s">
        <v>122</v>
      </c>
      <c r="K62" s="47" t="s">
        <v>89</v>
      </c>
      <c r="L62" s="47">
        <v>1</v>
      </c>
      <c r="M62" s="47">
        <v>4209.1099999999997</v>
      </c>
      <c r="N62" s="47" t="s">
        <v>72</v>
      </c>
      <c r="O62" s="47">
        <v>4206.3999999999996</v>
      </c>
      <c r="P62" s="49">
        <v>42070</v>
      </c>
      <c r="Q62" s="47">
        <v>3.84</v>
      </c>
      <c r="R62" s="47" t="s">
        <v>72</v>
      </c>
      <c r="S62" s="50" t="s">
        <v>72</v>
      </c>
      <c r="T62" s="49" t="s">
        <v>72</v>
      </c>
      <c r="U62" s="41" t="s">
        <v>72</v>
      </c>
      <c r="V62" s="33">
        <v>1021</v>
      </c>
    </row>
    <row r="63" spans="1:22" x14ac:dyDescent="0.25">
      <c r="A63" s="33">
        <v>56</v>
      </c>
      <c r="B63" s="34">
        <v>46303</v>
      </c>
      <c r="C63" s="55">
        <v>46304</v>
      </c>
      <c r="D63" s="56">
        <f t="shared" ref="D63" si="13">C63-B63</f>
        <v>1</v>
      </c>
      <c r="E63" s="47" t="s">
        <v>631</v>
      </c>
      <c r="F63" s="48" t="s">
        <v>632</v>
      </c>
      <c r="G63" s="47" t="s">
        <v>30</v>
      </c>
      <c r="H63" s="48" t="s">
        <v>630</v>
      </c>
      <c r="I63" s="47" t="s">
        <v>32</v>
      </c>
      <c r="J63" s="47" t="s">
        <v>122</v>
      </c>
      <c r="K63" s="47" t="s">
        <v>633</v>
      </c>
      <c r="L63" s="47">
        <v>-3</v>
      </c>
      <c r="M63" s="47">
        <v>6.6917</v>
      </c>
      <c r="N63" s="47" t="s">
        <v>72</v>
      </c>
      <c r="O63" s="47">
        <v>6.6870000000000003</v>
      </c>
      <c r="P63" s="49">
        <v>50164</v>
      </c>
      <c r="Q63" s="47">
        <v>11.52</v>
      </c>
      <c r="R63" s="47" t="s">
        <v>72</v>
      </c>
      <c r="S63" s="50" t="s">
        <v>72</v>
      </c>
      <c r="T63" s="49" t="s">
        <v>72</v>
      </c>
      <c r="U63" s="41" t="s">
        <v>72</v>
      </c>
    </row>
    <row r="64" spans="1:22" x14ac:dyDescent="0.25">
      <c r="B64" s="34"/>
      <c r="C64" s="34"/>
      <c r="D64" s="35"/>
      <c r="F64" s="36"/>
      <c r="H64" s="36"/>
      <c r="P64" s="39"/>
      <c r="S64" s="40"/>
      <c r="T64" s="39"/>
      <c r="U64" s="41"/>
    </row>
    <row r="65" spans="4:22" x14ac:dyDescent="0.25">
      <c r="F65" s="36"/>
      <c r="H65" s="36"/>
    </row>
    <row r="66" spans="4:22" x14ac:dyDescent="0.25">
      <c r="D66" s="52" t="s">
        <v>102</v>
      </c>
      <c r="E66" s="46">
        <f>AVERAGE(D2:D61)</f>
        <v>6.3</v>
      </c>
      <c r="F66" s="36"/>
      <c r="H66" s="36"/>
      <c r="U66" s="39">
        <f>SUM(U2:U64)</f>
        <v>81147.47</v>
      </c>
      <c r="V66" s="39">
        <f>SUM(V2:V64)</f>
        <v>3719.6000000000104</v>
      </c>
    </row>
    <row r="67" spans="4:22" x14ac:dyDescent="0.25">
      <c r="D67" s="52" t="s">
        <v>103</v>
      </c>
      <c r="E67" s="46">
        <f>AVERAGE(D2:D11,D13,D15:D61)</f>
        <v>4.5172413793103452</v>
      </c>
      <c r="F67" s="36"/>
      <c r="U67" s="53" t="s">
        <v>104</v>
      </c>
      <c r="V67" s="36" t="s">
        <v>105</v>
      </c>
    </row>
    <row r="68" spans="4:22" x14ac:dyDescent="0.25">
      <c r="F68" s="36"/>
      <c r="U68" s="33" t="s">
        <v>106</v>
      </c>
    </row>
    <row r="69" spans="4:22" x14ac:dyDescent="0.25">
      <c r="F69" s="36"/>
      <c r="U69" s="39">
        <f>U66+V66</f>
        <v>84867.07</v>
      </c>
    </row>
    <row r="70" spans="4:22" x14ac:dyDescent="0.25">
      <c r="F70" s="36"/>
    </row>
    <row r="71" spans="4:22" x14ac:dyDescent="0.25">
      <c r="F71" s="36"/>
      <c r="U71" s="36" t="s">
        <v>107</v>
      </c>
    </row>
    <row r="72" spans="4:22" x14ac:dyDescent="0.25">
      <c r="F72" s="36"/>
      <c r="U72" s="39">
        <v>333000</v>
      </c>
    </row>
    <row r="74" spans="4:22" x14ac:dyDescent="0.25">
      <c r="U74" s="33" t="s">
        <v>108</v>
      </c>
    </row>
    <row r="75" spans="4:22" x14ac:dyDescent="0.25">
      <c r="U75" s="54">
        <f>U69/U72</f>
        <v>0.25485606606606609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I87"/>
  <sheetViews>
    <sheetView topLeftCell="A73" zoomScale="200" zoomScaleNormal="200" workbookViewId="0">
      <selection activeCell="B87" sqref="B87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109</v>
      </c>
      <c r="B1" s="5" t="s">
        <v>110</v>
      </c>
      <c r="C1" s="22" t="s">
        <v>111</v>
      </c>
      <c r="D1" s="23" t="s">
        <v>112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87" si="0">B4-B3</f>
        <v>6713.6600000000326</v>
      </c>
      <c r="D4" s="23">
        <f t="shared" ref="D4:D87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9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</row>
    <row r="66" spans="1:9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</row>
    <row r="67" spans="1:9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</row>
    <row r="68" spans="1:9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</row>
    <row r="69" spans="1:9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</row>
    <row r="70" spans="1:9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</row>
    <row r="71" spans="1:9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9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9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9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  <c r="F74" s="25" t="s">
        <v>113</v>
      </c>
      <c r="G74" s="27">
        <f>AVERAGE(C3:C87)</f>
        <v>1018.4598823529408</v>
      </c>
      <c r="I74" s="27">
        <v>998.5129761904758</v>
      </c>
    </row>
    <row r="75" spans="1:9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  <c r="F75" s="25" t="s">
        <v>114</v>
      </c>
      <c r="G75" s="27">
        <f>_xlfn.STDEV.S(C3:C87)</f>
        <v>4167.1333742878405</v>
      </c>
      <c r="I75" s="27">
        <v>4188.0771538061736</v>
      </c>
    </row>
    <row r="76" spans="1:9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  <c r="F76" s="25" t="s">
        <v>115</v>
      </c>
      <c r="G76" s="28">
        <f>(G74/G75)*SQRT(252)</f>
        <v>3.8797772861721547</v>
      </c>
      <c r="I76" s="28">
        <v>3.7847684063843623</v>
      </c>
    </row>
    <row r="77" spans="1:9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  <c r="F77" s="25" t="s">
        <v>116</v>
      </c>
      <c r="G77" s="29">
        <f>_xlfn.STDEV.S(D2:D87)*SQRT(252)</f>
        <v>0.17841951279339599</v>
      </c>
      <c r="I77" s="29">
        <v>0.17936221602538568</v>
      </c>
    </row>
    <row r="78" spans="1:9" x14ac:dyDescent="0.2">
      <c r="A78" s="26">
        <v>46290</v>
      </c>
      <c r="B78" s="5">
        <f>B77+1206+104+2234+547-607</f>
        <v>419561</v>
      </c>
      <c r="C78" s="5">
        <f t="shared" si="0"/>
        <v>3484</v>
      </c>
      <c r="D78" s="23">
        <f t="shared" si="1"/>
        <v>8.3734501065908466E-3</v>
      </c>
      <c r="F78" s="25" t="s">
        <v>117</v>
      </c>
      <c r="G78" s="29" cm="1">
        <f t="array" ref="G78">PRODUCT(1+D3:D87)-1</f>
        <v>0.25961199736320695</v>
      </c>
      <c r="I78" s="29">
        <v>0.25153296701764072</v>
      </c>
    </row>
    <row r="79" spans="1:9" x14ac:dyDescent="0.2">
      <c r="A79" s="26">
        <v>46293</v>
      </c>
      <c r="B79" s="5">
        <f>B78+1042-1139+172+289+523-20-620-249+407</f>
        <v>419966</v>
      </c>
      <c r="C79" s="5">
        <f t="shared" si="0"/>
        <v>405</v>
      </c>
      <c r="D79" s="23">
        <f t="shared" si="1"/>
        <v>9.6529467705530299E-4</v>
      </c>
      <c r="F79" s="25" t="s">
        <v>118</v>
      </c>
      <c r="G79" s="29" cm="1">
        <f t="array" ref="G79">PRODUCT(1+D2:D87)^(252/COUNT(D2:D87))-1</f>
        <v>0.96660482859354491</v>
      </c>
      <c r="I79" s="29">
        <v>0.94485730362176024</v>
      </c>
    </row>
    <row r="80" spans="1:9" x14ac:dyDescent="0.2">
      <c r="A80" s="26">
        <v>46294</v>
      </c>
      <c r="B80" s="5">
        <f>B79-1240-558-240-381-285--84+69-32-406+166+95-231</f>
        <v>417007</v>
      </c>
      <c r="C80" s="5">
        <f t="shared" si="0"/>
        <v>-2959</v>
      </c>
      <c r="D80" s="23">
        <f t="shared" si="1"/>
        <v>-7.0458084702094935E-3</v>
      </c>
    </row>
    <row r="81" spans="1:4" x14ac:dyDescent="0.2">
      <c r="A81" s="26">
        <v>46295</v>
      </c>
      <c r="B81" s="5">
        <f>B80-159</f>
        <v>416848</v>
      </c>
      <c r="C81" s="5">
        <f t="shared" si="0"/>
        <v>-159</v>
      </c>
      <c r="D81" s="23">
        <f t="shared" si="1"/>
        <v>-3.812885635013321E-4</v>
      </c>
    </row>
    <row r="82" spans="1:4" x14ac:dyDescent="0.2">
      <c r="A82" s="26">
        <v>46296</v>
      </c>
      <c r="B82" s="5">
        <f>B81+662</f>
        <v>417510</v>
      </c>
      <c r="C82" s="5">
        <f t="shared" si="0"/>
        <v>662</v>
      </c>
      <c r="D82" s="23">
        <f t="shared" si="1"/>
        <v>1.5881088550262926E-3</v>
      </c>
    </row>
    <row r="83" spans="1:4" x14ac:dyDescent="0.2">
      <c r="A83" s="26">
        <v>46297</v>
      </c>
      <c r="B83" s="5">
        <f>B82-3334</f>
        <v>414176</v>
      </c>
      <c r="C83" s="5">
        <f t="shared" si="0"/>
        <v>-3334</v>
      </c>
      <c r="D83" s="23">
        <f t="shared" si="1"/>
        <v>-7.9854374745515072E-3</v>
      </c>
    </row>
    <row r="84" spans="1:4" x14ac:dyDescent="0.2">
      <c r="A84" s="26">
        <v>46300</v>
      </c>
      <c r="B84" s="5">
        <f>B83-1829</f>
        <v>412347</v>
      </c>
      <c r="C84" s="5">
        <f t="shared" si="0"/>
        <v>-1829</v>
      </c>
      <c r="D84" s="23">
        <f t="shared" si="1"/>
        <v>-4.4159970640500661E-3</v>
      </c>
    </row>
    <row r="85" spans="1:4" x14ac:dyDescent="0.2">
      <c r="A85" s="26">
        <v>46301</v>
      </c>
      <c r="B85" s="5">
        <f>B84-65+631-373-4200</f>
        <v>408340</v>
      </c>
      <c r="C85" s="5">
        <f t="shared" si="0"/>
        <v>-4007</v>
      </c>
      <c r="D85" s="23">
        <f t="shared" si="1"/>
        <v>-9.7175437192461682E-3</v>
      </c>
    </row>
    <row r="86" spans="1:4" x14ac:dyDescent="0.2">
      <c r="A86" s="26">
        <v>46302</v>
      </c>
      <c r="B86" s="5">
        <f>B85+7800+938+253</f>
        <v>417331</v>
      </c>
      <c r="C86" s="5">
        <f t="shared" si="0"/>
        <v>8991</v>
      </c>
      <c r="D86" s="23">
        <f t="shared" si="1"/>
        <v>2.2018416025860802E-2</v>
      </c>
    </row>
    <row r="87" spans="1:4" x14ac:dyDescent="0.2">
      <c r="A87" s="26">
        <v>46303</v>
      </c>
      <c r="B87" s="5">
        <f>B86+1458+1236</f>
        <v>420025</v>
      </c>
      <c r="C87" s="5">
        <f t="shared" si="0"/>
        <v>2694</v>
      </c>
      <c r="D87" s="23">
        <f t="shared" si="1"/>
        <v>6.4553076574709279E-3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W1048543"/>
  <sheetViews>
    <sheetView zoomScale="110" zoomScaleNormal="110" workbookViewId="0">
      <pane ySplit="1" topLeftCell="A73" activePane="bottomLeft" state="frozen"/>
      <selection pane="bottomLeft" activeCell="U94" sqref="U94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1" width="9.33203125" style="13" customWidth="1"/>
    <col min="12" max="12" width="9.33203125" style="18" bestFit="1" customWidth="1"/>
    <col min="13" max="13" width="15.83203125" style="21" bestFit="1" customWidth="1"/>
    <col min="14" max="14" width="18" style="17" bestFit="1" customWidth="1"/>
    <col min="15" max="15" width="16.33203125" style="17" bestFit="1" customWidth="1"/>
    <col min="16" max="16" width="18.33203125" style="16" bestFit="1" customWidth="1"/>
    <col min="17" max="17" width="20.5" style="16" bestFit="1" customWidth="1"/>
    <col min="18" max="18" width="16.6640625" style="16" bestFit="1" customWidth="1"/>
    <col min="19" max="19" width="20.33203125" style="16" bestFit="1" customWidth="1"/>
    <col min="20" max="20" width="17.1640625" style="16" bestFit="1" customWidth="1"/>
    <col min="21" max="22" width="17.1640625" style="16" customWidth="1"/>
    <col min="23" max="23" width="14.83203125" style="17" bestFit="1" customWidth="1"/>
    <col min="24" max="16384" width="9.1640625" style="18"/>
  </cols>
  <sheetData>
    <row r="1" spans="1:23" s="8" customFormat="1" x14ac:dyDescent="0.25">
      <c r="A1" s="6" t="s">
        <v>109</v>
      </c>
      <c r="B1" s="6" t="s">
        <v>522</v>
      </c>
      <c r="C1" s="7" t="s">
        <v>523</v>
      </c>
      <c r="D1" s="8" t="s">
        <v>524</v>
      </c>
      <c r="E1" s="8" t="s">
        <v>529</v>
      </c>
      <c r="F1" s="8" t="s">
        <v>122</v>
      </c>
      <c r="G1" s="8" t="s">
        <v>530</v>
      </c>
      <c r="H1" s="8" t="s">
        <v>531</v>
      </c>
      <c r="I1" s="8" t="s">
        <v>533</v>
      </c>
      <c r="J1" s="8" t="s">
        <v>120</v>
      </c>
      <c r="K1" s="8" t="s">
        <v>124</v>
      </c>
      <c r="L1" s="8" t="s">
        <v>48</v>
      </c>
      <c r="M1" s="9" t="s">
        <v>525</v>
      </c>
      <c r="N1" s="8" t="s">
        <v>526</v>
      </c>
      <c r="O1" s="8" t="s">
        <v>527</v>
      </c>
      <c r="P1" s="8" t="s">
        <v>535</v>
      </c>
      <c r="Q1" s="8" t="s">
        <v>536</v>
      </c>
      <c r="R1" s="8" t="s">
        <v>537</v>
      </c>
      <c r="S1" s="8" t="s">
        <v>538</v>
      </c>
      <c r="T1" s="8" t="s">
        <v>539</v>
      </c>
      <c r="U1" s="8" t="s">
        <v>589</v>
      </c>
      <c r="V1" s="8" t="s">
        <v>611</v>
      </c>
      <c r="W1" s="8" t="s">
        <v>528</v>
      </c>
    </row>
    <row r="2" spans="1:23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4">
        <v>300000</v>
      </c>
      <c r="N2" s="15">
        <v>0.35237333333333332</v>
      </c>
      <c r="O2" s="15">
        <v>0.64762666666666668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5">
        <v>0</v>
      </c>
    </row>
    <row r="3" spans="1:23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4">
        <v>300000</v>
      </c>
      <c r="N3" s="15">
        <v>0.35237333333333332</v>
      </c>
      <c r="O3" s="15">
        <v>0.64762666666666668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5">
        <v>0</v>
      </c>
    </row>
    <row r="4" spans="1:23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4">
        <v>300000</v>
      </c>
      <c r="N4" s="15">
        <v>0.81459999999999999</v>
      </c>
      <c r="O4" s="15">
        <v>0.18540000000000001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5">
        <v>0</v>
      </c>
    </row>
    <row r="5" spans="1:23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4">
        <v>907730</v>
      </c>
      <c r="N5" s="15">
        <v>0.2692210238727375</v>
      </c>
      <c r="O5" s="15">
        <v>0</v>
      </c>
      <c r="P5" s="16">
        <v>0.7307789761272625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5">
        <v>0</v>
      </c>
    </row>
    <row r="6" spans="1:23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4">
        <v>3696918</v>
      </c>
      <c r="N6" s="15">
        <v>3.7509081889292646E-2</v>
      </c>
      <c r="O6" s="15">
        <v>0</v>
      </c>
      <c r="P6" s="16">
        <v>0.17943324682884501</v>
      </c>
      <c r="Q6" s="16">
        <v>0.78305767128186232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5">
        <v>0</v>
      </c>
    </row>
    <row r="7" spans="1:23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4">
        <v>802018</v>
      </c>
      <c r="N7" s="15">
        <v>0.17289886261904347</v>
      </c>
      <c r="O7" s="15">
        <v>0</v>
      </c>
      <c r="P7" s="16">
        <v>0.82710113738095659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5">
        <v>0</v>
      </c>
    </row>
    <row r="8" spans="1:23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4">
        <v>600137</v>
      </c>
      <c r="N8" s="15">
        <v>0.23106057450215534</v>
      </c>
      <c r="O8" s="15">
        <v>0</v>
      </c>
      <c r="P8" s="16">
        <v>0.76893942549784466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5">
        <v>0</v>
      </c>
    </row>
    <row r="9" spans="1:23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4">
        <v>600137</v>
      </c>
      <c r="N9" s="15">
        <v>0.23106057450215534</v>
      </c>
      <c r="O9" s="15">
        <v>0</v>
      </c>
      <c r="P9" s="16">
        <v>0.76893942549784466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5">
        <v>0</v>
      </c>
    </row>
    <row r="10" spans="1:23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4">
        <v>461469</v>
      </c>
      <c r="N10" s="15">
        <v>0</v>
      </c>
      <c r="O10" s="15">
        <v>0</v>
      </c>
      <c r="P10" s="16">
        <v>1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5">
        <v>0</v>
      </c>
    </row>
    <row r="11" spans="1:23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4">
        <v>461469</v>
      </c>
      <c r="N11" s="15">
        <v>0</v>
      </c>
      <c r="O11" s="15">
        <v>0</v>
      </c>
      <c r="P11" s="16">
        <v>1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5">
        <v>0</v>
      </c>
    </row>
    <row r="12" spans="1:23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4">
        <v>461469</v>
      </c>
      <c r="N12" s="15">
        <v>0</v>
      </c>
      <c r="O12" s="15">
        <v>0</v>
      </c>
      <c r="P12" s="16">
        <v>1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5">
        <v>0</v>
      </c>
    </row>
    <row r="13" spans="1:23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4">
        <v>592709</v>
      </c>
      <c r="N13" s="15">
        <v>0</v>
      </c>
      <c r="O13" s="15">
        <v>0</v>
      </c>
      <c r="P13" s="16">
        <v>0.77857599597779015</v>
      </c>
      <c r="Q13" s="16">
        <v>0</v>
      </c>
      <c r="R13" s="16">
        <v>0.22142400402220988</v>
      </c>
      <c r="S13" s="16">
        <v>0</v>
      </c>
      <c r="T13" s="16">
        <v>0</v>
      </c>
      <c r="U13" s="16">
        <v>0</v>
      </c>
      <c r="V13" s="16">
        <v>0</v>
      </c>
      <c r="W13" s="15">
        <v>0</v>
      </c>
    </row>
    <row r="14" spans="1:23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4">
        <v>592709</v>
      </c>
      <c r="N14" s="15">
        <v>0</v>
      </c>
      <c r="O14" s="15">
        <v>0</v>
      </c>
      <c r="P14" s="16">
        <v>0.77857599597779015</v>
      </c>
      <c r="Q14" s="16">
        <v>0</v>
      </c>
      <c r="R14" s="16">
        <v>0.22142400402220988</v>
      </c>
      <c r="S14" s="16">
        <v>0</v>
      </c>
      <c r="T14" s="16">
        <v>0</v>
      </c>
      <c r="U14" s="16">
        <v>0</v>
      </c>
      <c r="V14" s="16">
        <v>0</v>
      </c>
      <c r="W14" s="15">
        <v>0</v>
      </c>
    </row>
    <row r="15" spans="1:23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4">
        <v>592709</v>
      </c>
      <c r="N15" s="15">
        <v>0</v>
      </c>
      <c r="O15" s="15">
        <v>0</v>
      </c>
      <c r="P15" s="16">
        <v>0.77857599597779015</v>
      </c>
      <c r="Q15" s="16">
        <v>0</v>
      </c>
      <c r="R15" s="16">
        <v>0.22142400402220988</v>
      </c>
      <c r="S15" s="16">
        <v>0</v>
      </c>
      <c r="T15" s="16">
        <v>0</v>
      </c>
      <c r="U15" s="16">
        <v>0</v>
      </c>
      <c r="V15" s="16">
        <v>0</v>
      </c>
      <c r="W15" s="15">
        <v>0</v>
      </c>
    </row>
    <row r="16" spans="1:23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4">
        <v>3586250</v>
      </c>
      <c r="N16" s="15">
        <v>0</v>
      </c>
      <c r="O16" s="15">
        <v>0</v>
      </c>
      <c r="P16" s="16">
        <v>0.12867730916695713</v>
      </c>
      <c r="Q16" s="16">
        <v>0.87132269083304292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5">
        <v>0</v>
      </c>
    </row>
    <row r="17" spans="1:23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4">
        <v>3586250</v>
      </c>
      <c r="N17" s="15">
        <v>0</v>
      </c>
      <c r="O17" s="15">
        <v>0</v>
      </c>
      <c r="P17" s="16">
        <v>0.12867730916695713</v>
      </c>
      <c r="Q17" s="16">
        <v>0.87132269083304292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5">
        <v>0</v>
      </c>
    </row>
    <row r="18" spans="1:23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193096</v>
      </c>
      <c r="M18" s="14">
        <v>3779346</v>
      </c>
      <c r="N18" s="15">
        <v>0</v>
      </c>
      <c r="O18" s="15">
        <v>0</v>
      </c>
      <c r="P18" s="16">
        <v>0.12210287176670249</v>
      </c>
      <c r="Q18" s="16">
        <v>0.8268046905469888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5">
        <v>5.1092437686308688E-2</v>
      </c>
    </row>
    <row r="19" spans="1:23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193096</v>
      </c>
      <c r="M19" s="14">
        <v>3981471</v>
      </c>
      <c r="N19" s="15">
        <v>0</v>
      </c>
      <c r="O19" s="15">
        <v>0</v>
      </c>
      <c r="P19" s="16">
        <v>0.16667055970017111</v>
      </c>
      <c r="Q19" s="16">
        <v>0.78483078239173409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5">
        <v>4.8498657908094774E-2</v>
      </c>
    </row>
    <row r="20" spans="1:23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193096</v>
      </c>
      <c r="M20" s="14">
        <v>3981471</v>
      </c>
      <c r="N20" s="15">
        <v>0</v>
      </c>
      <c r="O20" s="15">
        <v>0</v>
      </c>
      <c r="P20" s="16">
        <v>0.16667055970017111</v>
      </c>
      <c r="Q20" s="16">
        <v>0.78483078239173409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5">
        <v>4.8498657908094774E-2</v>
      </c>
    </row>
    <row r="21" spans="1:23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416939</v>
      </c>
      <c r="M21" s="14">
        <v>4260349</v>
      </c>
      <c r="N21" s="15">
        <v>1.2917955782495754E-2</v>
      </c>
      <c r="O21" s="15">
        <v>0</v>
      </c>
      <c r="P21" s="16">
        <v>0.1557604787776776</v>
      </c>
      <c r="Q21" s="16">
        <v>0.73345657832257405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5">
        <v>9.7864987117252597E-2</v>
      </c>
    </row>
    <row r="22" spans="1:23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223843</v>
      </c>
      <c r="M22" s="14">
        <v>3524723</v>
      </c>
      <c r="N22" s="15">
        <v>1.5613992929373457E-2</v>
      </c>
      <c r="O22" s="15">
        <v>0</v>
      </c>
      <c r="P22" s="16">
        <v>0</v>
      </c>
      <c r="Q22" s="16">
        <v>0.88653236013156211</v>
      </c>
      <c r="R22" s="16">
        <v>0</v>
      </c>
      <c r="S22" s="16">
        <v>3.4347096211532084E-2</v>
      </c>
      <c r="T22" s="16">
        <v>0</v>
      </c>
      <c r="U22" s="16">
        <v>0</v>
      </c>
      <c r="V22" s="16">
        <v>0</v>
      </c>
      <c r="W22" s="15">
        <v>6.3506550727532349E-2</v>
      </c>
    </row>
    <row r="23" spans="1:23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223843</v>
      </c>
      <c r="M23" s="14">
        <v>3469688</v>
      </c>
      <c r="N23" s="15">
        <v>0</v>
      </c>
      <c r="O23" s="15">
        <v>0</v>
      </c>
      <c r="P23" s="16">
        <v>0</v>
      </c>
      <c r="Q23" s="16">
        <v>0.90059423210386635</v>
      </c>
      <c r="R23" s="16">
        <v>0</v>
      </c>
      <c r="S23" s="16">
        <v>3.4891898061151318E-2</v>
      </c>
      <c r="T23" s="16">
        <v>0</v>
      </c>
      <c r="U23" s="16">
        <v>0</v>
      </c>
      <c r="V23" s="16">
        <v>0</v>
      </c>
      <c r="W23" s="15">
        <v>6.4513869834982279E-2</v>
      </c>
    </row>
    <row r="24" spans="1:23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223843</v>
      </c>
      <c r="M24" s="14">
        <f>SUM(C24:L24)</f>
        <v>460932</v>
      </c>
      <c r="N24" s="15">
        <v>0</v>
      </c>
      <c r="O24" s="15">
        <v>0</v>
      </c>
      <c r="P24" s="16">
        <v>0</v>
      </c>
      <c r="Q24" s="16">
        <v>0</v>
      </c>
      <c r="R24" s="16">
        <f>G24/M24</f>
        <v>0.25171825779073703</v>
      </c>
      <c r="S24" s="16">
        <f>H24/M24</f>
        <v>0.2626504560325601</v>
      </c>
      <c r="T24" s="16">
        <v>0</v>
      </c>
      <c r="U24" s="16">
        <v>0</v>
      </c>
      <c r="V24" s="16">
        <v>0</v>
      </c>
      <c r="W24" s="15">
        <f>L24/M24</f>
        <v>0.48563128617670287</v>
      </c>
    </row>
    <row r="25" spans="1:23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223843</v>
      </c>
      <c r="M25" s="14">
        <v>374479.39</v>
      </c>
      <c r="N25" s="15">
        <v>0</v>
      </c>
      <c r="O25" s="15">
        <v>7.8969339273918415E-2</v>
      </c>
      <c r="P25" s="16">
        <v>0</v>
      </c>
      <c r="Q25" s="16">
        <v>0</v>
      </c>
      <c r="R25" s="16">
        <v>0</v>
      </c>
      <c r="S25" s="16">
        <v>0.32328614933921995</v>
      </c>
      <c r="T25" s="16">
        <v>0</v>
      </c>
      <c r="U25" s="16">
        <v>0</v>
      </c>
      <c r="V25" s="16">
        <v>0</v>
      </c>
      <c r="W25" s="15">
        <v>0.59774451138686158</v>
      </c>
    </row>
    <row r="26" spans="1:23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223843</v>
      </c>
      <c r="M26" s="14">
        <v>372801.92</v>
      </c>
      <c r="N26" s="15">
        <v>0</v>
      </c>
      <c r="O26" s="15">
        <v>7.4825043819516768E-2</v>
      </c>
      <c r="P26" s="16">
        <v>0</v>
      </c>
      <c r="Q26" s="16">
        <v>0</v>
      </c>
      <c r="R26" s="16">
        <v>0</v>
      </c>
      <c r="S26" s="16">
        <v>0.32474081678549299</v>
      </c>
      <c r="T26" s="16">
        <v>0</v>
      </c>
      <c r="U26" s="16">
        <v>0</v>
      </c>
      <c r="V26" s="16">
        <v>0</v>
      </c>
      <c r="W26" s="15">
        <v>0.60043413939499024</v>
      </c>
    </row>
    <row r="27" spans="1:23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223843</v>
      </c>
      <c r="M27" s="14">
        <v>375246.11</v>
      </c>
      <c r="N27" s="15">
        <v>0</v>
      </c>
      <c r="O27" s="15">
        <v>8.0851231209298838E-2</v>
      </c>
      <c r="P27" s="16">
        <v>0</v>
      </c>
      <c r="Q27" s="16">
        <v>0</v>
      </c>
      <c r="R27" s="16">
        <v>0</v>
      </c>
      <c r="S27" s="16">
        <v>0.32262559630531545</v>
      </c>
      <c r="T27" s="16">
        <v>0</v>
      </c>
      <c r="U27" s="16">
        <v>0</v>
      </c>
      <c r="V27" s="16">
        <v>0</v>
      </c>
      <c r="W27" s="15">
        <v>0.59652317248538567</v>
      </c>
    </row>
    <row r="28" spans="1:23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223843</v>
      </c>
      <c r="M28" s="14">
        <v>435718</v>
      </c>
      <c r="N28" s="15">
        <v>0.20841691185583336</v>
      </c>
      <c r="O28" s="15">
        <v>0</v>
      </c>
      <c r="P28" s="16">
        <v>0</v>
      </c>
      <c r="Q28" s="16">
        <v>0</v>
      </c>
      <c r="R28" s="16">
        <v>0</v>
      </c>
      <c r="S28" s="16">
        <v>0.27784943472613022</v>
      </c>
      <c r="T28" s="16">
        <v>0</v>
      </c>
      <c r="U28" s="16">
        <v>0</v>
      </c>
      <c r="V28" s="16">
        <v>0</v>
      </c>
      <c r="W28" s="15">
        <v>0.51373365341803645</v>
      </c>
    </row>
    <row r="29" spans="1:23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223843</v>
      </c>
      <c r="M29" s="14">
        <v>435718</v>
      </c>
      <c r="N29" s="15">
        <v>0.20841691185583336</v>
      </c>
      <c r="O29" s="15">
        <v>0</v>
      </c>
      <c r="P29" s="16">
        <v>0</v>
      </c>
      <c r="Q29" s="16">
        <v>0</v>
      </c>
      <c r="R29" s="16">
        <v>0</v>
      </c>
      <c r="S29" s="16">
        <v>0.27784943472613022</v>
      </c>
      <c r="T29" s="16">
        <v>0</v>
      </c>
      <c r="U29" s="16">
        <v>0</v>
      </c>
      <c r="V29" s="16">
        <v>0</v>
      </c>
      <c r="W29" s="15">
        <v>0.51373365341803645</v>
      </c>
    </row>
    <row r="30" spans="1:23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223843</v>
      </c>
      <c r="M30" s="14">
        <v>435718</v>
      </c>
      <c r="N30" s="15">
        <v>0.20841691185583336</v>
      </c>
      <c r="O30" s="15">
        <v>0</v>
      </c>
      <c r="P30" s="16">
        <v>0</v>
      </c>
      <c r="Q30" s="16">
        <v>0</v>
      </c>
      <c r="R30" s="16">
        <v>0</v>
      </c>
      <c r="S30" s="16">
        <v>0.27784943472613022</v>
      </c>
      <c r="T30" s="16">
        <v>0</v>
      </c>
      <c r="U30" s="16">
        <v>0</v>
      </c>
      <c r="V30" s="16">
        <v>0</v>
      </c>
      <c r="W30" s="15">
        <v>0.51373365341803645</v>
      </c>
    </row>
    <row r="31" spans="1:23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223843</v>
      </c>
      <c r="M31" s="14">
        <v>435718</v>
      </c>
      <c r="N31" s="15">
        <v>0.20841691185583336</v>
      </c>
      <c r="O31" s="15">
        <v>0</v>
      </c>
      <c r="P31" s="16">
        <v>0</v>
      </c>
      <c r="Q31" s="16">
        <v>0</v>
      </c>
      <c r="R31" s="16">
        <v>0</v>
      </c>
      <c r="S31" s="16">
        <v>0.27784943472613022</v>
      </c>
      <c r="T31" s="16">
        <v>0</v>
      </c>
      <c r="U31" s="16">
        <v>0</v>
      </c>
      <c r="V31" s="16">
        <v>0</v>
      </c>
      <c r="W31" s="15">
        <v>0.51373365341803645</v>
      </c>
    </row>
    <row r="32" spans="1:23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223843</v>
      </c>
      <c r="M32" s="14">
        <v>378852.03</v>
      </c>
      <c r="N32" s="15">
        <v>0</v>
      </c>
      <c r="O32" s="15">
        <v>8.9599704665697652E-2</v>
      </c>
      <c r="P32" s="16">
        <v>0</v>
      </c>
      <c r="Q32" s="16">
        <v>0</v>
      </c>
      <c r="R32" s="16">
        <v>0</v>
      </c>
      <c r="S32" s="16">
        <v>0.31955484044786558</v>
      </c>
      <c r="T32" s="16">
        <v>0</v>
      </c>
      <c r="U32" s="16">
        <v>0</v>
      </c>
      <c r="V32" s="16">
        <v>0</v>
      </c>
      <c r="W32" s="15">
        <v>0.5908454548864368</v>
      </c>
    </row>
    <row r="33" spans="1:23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223843</v>
      </c>
      <c r="M33" s="14">
        <v>374437.1</v>
      </c>
      <c r="N33" s="15">
        <v>0</v>
      </c>
      <c r="O33" s="15">
        <v>7.8865315429480623E-2</v>
      </c>
      <c r="P33" s="16">
        <v>0</v>
      </c>
      <c r="Q33" s="16">
        <v>0</v>
      </c>
      <c r="R33" s="16">
        <v>0</v>
      </c>
      <c r="S33" s="16">
        <v>0.32332266220414591</v>
      </c>
      <c r="T33" s="16">
        <v>0</v>
      </c>
      <c r="U33" s="16">
        <v>0</v>
      </c>
      <c r="V33" s="16">
        <v>0</v>
      </c>
      <c r="W33" s="15">
        <v>0.59781202236637343</v>
      </c>
    </row>
    <row r="34" spans="1:23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223843</v>
      </c>
      <c r="M34" s="14">
        <v>372248.26</v>
      </c>
      <c r="N34" s="15">
        <v>0</v>
      </c>
      <c r="O34" s="15">
        <v>7.3448993421755704E-2</v>
      </c>
      <c r="P34" s="16">
        <v>0</v>
      </c>
      <c r="Q34" s="16">
        <v>0</v>
      </c>
      <c r="R34" s="16">
        <v>0</v>
      </c>
      <c r="S34" s="16">
        <v>0.32522381703006481</v>
      </c>
      <c r="T34" s="16">
        <v>0</v>
      </c>
      <c r="U34" s="16">
        <v>0</v>
      </c>
      <c r="V34" s="16">
        <v>0</v>
      </c>
      <c r="W34" s="15">
        <v>0.60132718954817943</v>
      </c>
    </row>
    <row r="35" spans="1:23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223843</v>
      </c>
      <c r="M35" s="14">
        <v>376025.4</v>
      </c>
      <c r="N35" s="15">
        <v>0</v>
      </c>
      <c r="O35" s="15">
        <v>8.2756111688199838E-2</v>
      </c>
      <c r="P35" s="16">
        <v>0</v>
      </c>
      <c r="Q35" s="16">
        <v>0</v>
      </c>
      <c r="R35" s="16">
        <v>0</v>
      </c>
      <c r="S35" s="16">
        <v>0.32195697418312696</v>
      </c>
      <c r="T35" s="16">
        <v>0</v>
      </c>
      <c r="U35" s="16">
        <v>0</v>
      </c>
      <c r="V35" s="16">
        <v>0</v>
      </c>
      <c r="W35" s="15">
        <v>0.59528691412867318</v>
      </c>
    </row>
    <row r="36" spans="1:23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223843</v>
      </c>
      <c r="M36" s="14">
        <v>375009.72</v>
      </c>
      <c r="N36" s="15">
        <v>0</v>
      </c>
      <c r="O36" s="15">
        <v>8.0271839353923874E-2</v>
      </c>
      <c r="P36" s="16">
        <v>0</v>
      </c>
      <c r="Q36" s="16">
        <v>0</v>
      </c>
      <c r="R36" s="16">
        <v>0</v>
      </c>
      <c r="S36" s="16">
        <v>0.32282896560654484</v>
      </c>
      <c r="T36" s="16">
        <v>0</v>
      </c>
      <c r="U36" s="16">
        <v>0</v>
      </c>
      <c r="V36" s="16">
        <v>0</v>
      </c>
      <c r="W36" s="15">
        <v>0.59689919503953126</v>
      </c>
    </row>
    <row r="37" spans="1:23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223843</v>
      </c>
      <c r="M37" s="14">
        <v>375731.28</v>
      </c>
      <c r="N37" s="15">
        <v>0</v>
      </c>
      <c r="O37" s="15">
        <v>8.2038099143622076E-2</v>
      </c>
      <c r="P37" s="16">
        <v>0</v>
      </c>
      <c r="Q37" s="16">
        <v>0</v>
      </c>
      <c r="R37" s="16">
        <v>0</v>
      </c>
      <c r="S37" s="16">
        <v>0.32220900000660047</v>
      </c>
      <c r="T37" s="16">
        <v>0</v>
      </c>
      <c r="U37" s="16">
        <v>0</v>
      </c>
      <c r="V37" s="16">
        <v>0</v>
      </c>
      <c r="W37" s="15">
        <v>0.5957529008497775</v>
      </c>
    </row>
    <row r="38" spans="1:23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223843</v>
      </c>
      <c r="M38" s="14">
        <v>378174.99</v>
      </c>
      <c r="N38" s="15">
        <v>0</v>
      </c>
      <c r="O38" s="15">
        <v>8.79698311091381E-2</v>
      </c>
      <c r="P38" s="16">
        <v>0</v>
      </c>
      <c r="Q38" s="16">
        <v>0</v>
      </c>
      <c r="R38" s="16">
        <v>0</v>
      </c>
      <c r="S38" s="16">
        <v>0.32012693383028845</v>
      </c>
      <c r="T38" s="16">
        <v>0</v>
      </c>
      <c r="U38" s="16">
        <v>0</v>
      </c>
      <c r="V38" s="16">
        <v>0</v>
      </c>
      <c r="W38" s="15">
        <v>0.59190323506057341</v>
      </c>
    </row>
    <row r="39" spans="1:23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223843</v>
      </c>
      <c r="M39" s="14">
        <v>380362.45</v>
      </c>
      <c r="N39" s="15">
        <v>0</v>
      </c>
      <c r="O39" s="15">
        <v>9.3214905940373474E-2</v>
      </c>
      <c r="P39" s="16">
        <v>0</v>
      </c>
      <c r="Q39" s="16">
        <v>0</v>
      </c>
      <c r="R39" s="16">
        <v>0</v>
      </c>
      <c r="S39" s="16">
        <v>0.31828588757907095</v>
      </c>
      <c r="T39" s="16">
        <v>0</v>
      </c>
      <c r="U39" s="16">
        <v>0</v>
      </c>
      <c r="V39" s="16">
        <v>0</v>
      </c>
      <c r="W39" s="15">
        <v>0.58849920648055554</v>
      </c>
    </row>
    <row r="40" spans="1:23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223843</v>
      </c>
      <c r="M40" s="14">
        <v>377185.45</v>
      </c>
      <c r="N40" s="15">
        <v>0</v>
      </c>
      <c r="O40" s="15">
        <v>8.5577134536870422E-2</v>
      </c>
      <c r="P40" s="16">
        <v>0</v>
      </c>
      <c r="Q40" s="16">
        <v>0</v>
      </c>
      <c r="R40" s="16">
        <v>0</v>
      </c>
      <c r="S40" s="16">
        <v>0.32096678172501086</v>
      </c>
      <c r="T40" s="16">
        <v>0</v>
      </c>
      <c r="U40" s="16">
        <v>0</v>
      </c>
      <c r="V40" s="16">
        <v>0</v>
      </c>
      <c r="W40" s="15">
        <v>0.59345608373811876</v>
      </c>
    </row>
    <row r="41" spans="1:23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223843</v>
      </c>
      <c r="M41" s="14">
        <v>378220.45</v>
      </c>
      <c r="N41" s="15">
        <v>0</v>
      </c>
      <c r="O41" s="15">
        <v>8.807945207616355E-2</v>
      </c>
      <c r="P41" s="16">
        <v>0</v>
      </c>
      <c r="Q41" s="16">
        <v>0</v>
      </c>
      <c r="R41" s="16">
        <v>0</v>
      </c>
      <c r="S41" s="16">
        <v>0.32008845634867178</v>
      </c>
      <c r="T41" s="16">
        <v>0</v>
      </c>
      <c r="U41" s="16">
        <v>0</v>
      </c>
      <c r="V41" s="16">
        <v>0</v>
      </c>
      <c r="W41" s="15">
        <v>0.5918320915751647</v>
      </c>
    </row>
    <row r="42" spans="1:23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223843</v>
      </c>
      <c r="M42" s="14">
        <v>679531</v>
      </c>
      <c r="N42" s="15">
        <v>0.49243375210255308</v>
      </c>
      <c r="O42" s="15">
        <v>0</v>
      </c>
      <c r="P42" s="16">
        <v>0</v>
      </c>
      <c r="Q42" s="16">
        <v>0</v>
      </c>
      <c r="R42" s="16">
        <v>0</v>
      </c>
      <c r="S42" s="16">
        <v>0.17815817085607574</v>
      </c>
      <c r="T42" s="16">
        <v>0</v>
      </c>
      <c r="U42" s="16">
        <v>0</v>
      </c>
      <c r="V42" s="16">
        <v>0</v>
      </c>
      <c r="W42" s="15">
        <v>0.32940807704137121</v>
      </c>
    </row>
    <row r="43" spans="1:23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223843</v>
      </c>
      <c r="M43" s="14">
        <v>679531</v>
      </c>
      <c r="N43" s="15">
        <v>0.49243375210255308</v>
      </c>
      <c r="O43" s="15">
        <v>0</v>
      </c>
      <c r="P43" s="16">
        <v>0</v>
      </c>
      <c r="Q43" s="16">
        <v>0</v>
      </c>
      <c r="R43" s="16">
        <v>0</v>
      </c>
      <c r="S43" s="16">
        <v>0.17815817085607574</v>
      </c>
      <c r="T43" s="16">
        <v>0</v>
      </c>
      <c r="U43" s="16">
        <v>0</v>
      </c>
      <c r="V43" s="16">
        <v>0</v>
      </c>
      <c r="W43" s="15">
        <v>0.32940807704137121</v>
      </c>
    </row>
    <row r="44" spans="1:23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223843</v>
      </c>
      <c r="M44" s="14">
        <v>391793.7</v>
      </c>
      <c r="N44" s="15">
        <v>0</v>
      </c>
      <c r="O44" s="15">
        <v>0.11967190896637697</v>
      </c>
      <c r="P44" s="16">
        <v>0</v>
      </c>
      <c r="Q44" s="16">
        <v>0</v>
      </c>
      <c r="R44" s="16">
        <v>0</v>
      </c>
      <c r="S44" s="16">
        <v>0.30899935348628627</v>
      </c>
      <c r="T44" s="16">
        <v>0</v>
      </c>
      <c r="U44" s="16">
        <v>0</v>
      </c>
      <c r="V44" s="16">
        <v>0</v>
      </c>
      <c r="W44" s="15">
        <v>0.57132873754733671</v>
      </c>
    </row>
    <row r="45" spans="1:23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223843</v>
      </c>
      <c r="M45" s="14">
        <v>388741.7</v>
      </c>
      <c r="N45" s="15">
        <v>0</v>
      </c>
      <c r="O45" s="15">
        <v>0.11276047823014616</v>
      </c>
      <c r="P45" s="16">
        <v>0</v>
      </c>
      <c r="Q45" s="16">
        <v>0</v>
      </c>
      <c r="R45" s="16">
        <v>0</v>
      </c>
      <c r="S45" s="16">
        <v>0.3114252985980151</v>
      </c>
      <c r="T45" s="16">
        <v>0</v>
      </c>
      <c r="U45" s="16">
        <v>0</v>
      </c>
      <c r="V45" s="16">
        <v>0</v>
      </c>
      <c r="W45" s="15">
        <v>0.57581422317183872</v>
      </c>
    </row>
    <row r="46" spans="1:23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223843</v>
      </c>
      <c r="M46" s="14">
        <v>385314.7</v>
      </c>
      <c r="N46" s="15">
        <v>0</v>
      </c>
      <c r="O46" s="15">
        <v>0.10486934446051503</v>
      </c>
      <c r="P46" s="16">
        <v>0</v>
      </c>
      <c r="Q46" s="16">
        <v>0</v>
      </c>
      <c r="R46" s="16">
        <v>0</v>
      </c>
      <c r="S46" s="16">
        <v>0.31419512414138362</v>
      </c>
      <c r="T46" s="16">
        <v>0</v>
      </c>
      <c r="U46" s="16">
        <v>0</v>
      </c>
      <c r="V46" s="16">
        <v>0</v>
      </c>
      <c r="W46" s="15">
        <v>0.58093553139810128</v>
      </c>
    </row>
    <row r="47" spans="1:23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223843</v>
      </c>
      <c r="M47" s="14">
        <v>383427.7</v>
      </c>
      <c r="N47" s="15">
        <v>0</v>
      </c>
      <c r="O47" s="15">
        <v>0.1004640509801457</v>
      </c>
      <c r="P47" s="16">
        <v>0</v>
      </c>
      <c r="Q47" s="16">
        <v>0</v>
      </c>
      <c r="R47" s="16">
        <v>0</v>
      </c>
      <c r="S47" s="16">
        <v>0.31574140313806226</v>
      </c>
      <c r="T47" s="16">
        <v>0</v>
      </c>
      <c r="U47" s="16">
        <v>0</v>
      </c>
      <c r="V47" s="16">
        <v>0</v>
      </c>
      <c r="W47" s="15">
        <v>0.58379454588179203</v>
      </c>
    </row>
    <row r="48" spans="1:23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223843</v>
      </c>
      <c r="M48" s="14">
        <v>381652.7</v>
      </c>
      <c r="N48" s="15">
        <v>0</v>
      </c>
      <c r="O48" s="15">
        <v>9.6280466507901064E-2</v>
      </c>
      <c r="P48" s="16">
        <v>0</v>
      </c>
      <c r="Q48" s="16">
        <v>0</v>
      </c>
      <c r="R48" s="16">
        <v>0</v>
      </c>
      <c r="S48" s="16">
        <v>0.31720986121675543</v>
      </c>
      <c r="T48" s="16">
        <v>0</v>
      </c>
      <c r="U48" s="16">
        <v>0</v>
      </c>
      <c r="V48" s="16">
        <v>0</v>
      </c>
      <c r="W48" s="15">
        <v>0.58650967227534356</v>
      </c>
    </row>
    <row r="49" spans="1:23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223843</v>
      </c>
      <c r="M49" s="14">
        <v>383198.7</v>
      </c>
      <c r="N49" s="15">
        <v>0</v>
      </c>
      <c r="O49" s="15">
        <v>9.9926487224513055E-2</v>
      </c>
      <c r="P49" s="16">
        <v>0</v>
      </c>
      <c r="Q49" s="16">
        <v>0</v>
      </c>
      <c r="R49" s="16">
        <v>0</v>
      </c>
      <c r="S49" s="16">
        <v>0.31593009057702959</v>
      </c>
      <c r="T49" s="16">
        <v>0</v>
      </c>
      <c r="U49" s="16">
        <v>0</v>
      </c>
      <c r="V49" s="16">
        <v>0</v>
      </c>
      <c r="W49" s="15">
        <v>0.58414342219845738</v>
      </c>
    </row>
    <row r="50" spans="1:23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223843</v>
      </c>
      <c r="M50" s="14">
        <v>384776.7</v>
      </c>
      <c r="N50" s="15">
        <v>0</v>
      </c>
      <c r="O50" s="15">
        <v>0.10361776063883289</v>
      </c>
      <c r="P50" s="16">
        <v>0</v>
      </c>
      <c r="Q50" s="16">
        <v>0</v>
      </c>
      <c r="R50" s="16">
        <v>0</v>
      </c>
      <c r="S50" s="16">
        <v>0.31463443602484248</v>
      </c>
      <c r="T50" s="16">
        <v>0</v>
      </c>
      <c r="U50" s="16">
        <v>0</v>
      </c>
      <c r="V50" s="16">
        <v>0</v>
      </c>
      <c r="W50" s="15">
        <v>0.5817478033363247</v>
      </c>
    </row>
    <row r="51" spans="1:23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8">
        <v>54051</v>
      </c>
      <c r="M51" s="14">
        <v>384909.7</v>
      </c>
      <c r="N51" s="15">
        <v>0</v>
      </c>
      <c r="O51" s="15">
        <v>6.342448631458239E-2</v>
      </c>
      <c r="P51" s="16">
        <v>0</v>
      </c>
      <c r="Q51" s="16">
        <v>0</v>
      </c>
      <c r="R51" s="16">
        <v>0</v>
      </c>
      <c r="S51" s="16">
        <v>0.31452571862959028</v>
      </c>
      <c r="T51" s="16">
        <v>0.48162465118442066</v>
      </c>
      <c r="U51" s="16">
        <v>0</v>
      </c>
      <c r="V51" s="16">
        <v>0</v>
      </c>
      <c r="W51" s="15">
        <v>0.14042514387140673</v>
      </c>
    </row>
    <row r="52" spans="1:23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8">
        <v>54051</v>
      </c>
      <c r="M52" s="14">
        <v>379686.7</v>
      </c>
      <c r="N52" s="15">
        <v>0</v>
      </c>
      <c r="O52" s="15">
        <v>5.0540880151977961E-2</v>
      </c>
      <c r="P52" s="16">
        <v>0</v>
      </c>
      <c r="Q52" s="16">
        <v>0</v>
      </c>
      <c r="R52" s="16">
        <v>0</v>
      </c>
      <c r="S52" s="16">
        <v>0.31885235906340675</v>
      </c>
      <c r="T52" s="16">
        <v>0.48824991762945608</v>
      </c>
      <c r="U52" s="16">
        <v>0</v>
      </c>
      <c r="V52" s="16">
        <v>0</v>
      </c>
      <c r="W52" s="15">
        <v>0.14235684315515923</v>
      </c>
    </row>
    <row r="53" spans="1:23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8">
        <v>218671</v>
      </c>
      <c r="M53" s="14">
        <f>SUM(C53:L53)</f>
        <v>676730</v>
      </c>
      <c r="N53" s="15">
        <v>0</v>
      </c>
      <c r="O53" s="15">
        <v>0</v>
      </c>
      <c r="P53" s="16">
        <v>0</v>
      </c>
      <c r="Q53" s="16">
        <v>0</v>
      </c>
      <c r="R53" s="16">
        <f>G53/M53</f>
        <v>0.2699821199001079</v>
      </c>
      <c r="S53" s="16">
        <f>H53/M53</f>
        <v>0.17889557135046474</v>
      </c>
      <c r="T53" s="16">
        <f>I53/M53</f>
        <v>0.22799343903772554</v>
      </c>
      <c r="U53" s="16">
        <v>0</v>
      </c>
      <c r="V53" s="16">
        <v>0</v>
      </c>
      <c r="W53" s="15">
        <f>L53/M53</f>
        <v>0.32312886971170185</v>
      </c>
    </row>
    <row r="54" spans="1:23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8">
        <v>218671</v>
      </c>
      <c r="M54" s="14">
        <v>494025</v>
      </c>
      <c r="N54" s="15">
        <v>0</v>
      </c>
      <c r="O54" s="15">
        <v>0</v>
      </c>
      <c r="P54" s="16">
        <v>0</v>
      </c>
      <c r="Q54" s="16">
        <v>0</v>
      </c>
      <c r="R54" s="16">
        <v>0</v>
      </c>
      <c r="S54" s="16">
        <v>0.24505642427002683</v>
      </c>
      <c r="T54" s="16">
        <v>0.31231212995293761</v>
      </c>
      <c r="U54" s="16">
        <v>0</v>
      </c>
      <c r="V54" s="16">
        <v>0</v>
      </c>
      <c r="W54" s="15">
        <v>0.44263144577703556</v>
      </c>
    </row>
    <row r="55" spans="1:23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8">
        <v>218671</v>
      </c>
      <c r="M55" s="14">
        <v>494025</v>
      </c>
      <c r="N55" s="15">
        <v>0</v>
      </c>
      <c r="O55" s="15">
        <v>0</v>
      </c>
      <c r="P55" s="16">
        <v>0</v>
      </c>
      <c r="Q55" s="16">
        <v>0</v>
      </c>
      <c r="R55" s="16">
        <v>0</v>
      </c>
      <c r="S55" s="16">
        <v>0.24505642427002683</v>
      </c>
      <c r="T55" s="16">
        <v>0.31231212995293761</v>
      </c>
      <c r="U55" s="16">
        <v>0</v>
      </c>
      <c r="V55" s="16">
        <v>0</v>
      </c>
      <c r="W55" s="15">
        <v>0.44263144577703556</v>
      </c>
    </row>
    <row r="56" spans="1:23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8">
        <v>218671</v>
      </c>
      <c r="M56" s="14">
        <v>494025</v>
      </c>
      <c r="N56" s="15">
        <v>0</v>
      </c>
      <c r="O56" s="15">
        <v>0</v>
      </c>
      <c r="P56" s="16">
        <v>0</v>
      </c>
      <c r="Q56" s="16">
        <v>0</v>
      </c>
      <c r="R56" s="16">
        <v>0</v>
      </c>
      <c r="S56" s="16">
        <v>0.24505642427002683</v>
      </c>
      <c r="T56" s="16">
        <v>0.31231212995293761</v>
      </c>
      <c r="U56" s="16">
        <v>0</v>
      </c>
      <c r="V56" s="16">
        <v>0</v>
      </c>
      <c r="W56" s="15">
        <v>0.44263144577703556</v>
      </c>
    </row>
    <row r="57" spans="1:23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8">
        <v>218671</v>
      </c>
      <c r="M57" s="14">
        <v>494025</v>
      </c>
      <c r="N57" s="15">
        <v>0</v>
      </c>
      <c r="O57" s="15">
        <v>0</v>
      </c>
      <c r="P57" s="16">
        <v>0</v>
      </c>
      <c r="Q57" s="16">
        <v>0</v>
      </c>
      <c r="R57" s="16">
        <v>0</v>
      </c>
      <c r="S57" s="16">
        <v>0.24505642427002683</v>
      </c>
      <c r="T57" s="16">
        <v>0.31231212995293761</v>
      </c>
      <c r="U57" s="16">
        <v>0</v>
      </c>
      <c r="V57" s="16">
        <v>0</v>
      </c>
      <c r="W57" s="15">
        <v>0.44263144577703556</v>
      </c>
    </row>
    <row r="58" spans="1:23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8">
        <v>218671</v>
      </c>
      <c r="M58" s="14">
        <v>494025</v>
      </c>
      <c r="N58" s="15">
        <v>0</v>
      </c>
      <c r="O58" s="15">
        <v>0</v>
      </c>
      <c r="P58" s="16">
        <v>0</v>
      </c>
      <c r="Q58" s="16">
        <v>0</v>
      </c>
      <c r="R58" s="16">
        <v>0</v>
      </c>
      <c r="S58" s="16">
        <v>0.24505642427002683</v>
      </c>
      <c r="T58" s="16">
        <v>0.31231212995293761</v>
      </c>
      <c r="U58" s="16">
        <v>0</v>
      </c>
      <c r="V58" s="16">
        <v>0</v>
      </c>
      <c r="W58" s="15">
        <v>0.44263144577703556</v>
      </c>
    </row>
    <row r="59" spans="1:23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8">
        <v>218671</v>
      </c>
      <c r="M59" s="14">
        <f>SUM(C59:L59)</f>
        <v>1945025</v>
      </c>
      <c r="N59" s="15">
        <v>0</v>
      </c>
      <c r="O59" s="15">
        <v>0</v>
      </c>
      <c r="P59" s="16">
        <v>0</v>
      </c>
      <c r="Q59" s="16">
        <f>E59/M59</f>
        <v>0.7460058354005733</v>
      </c>
      <c r="R59" s="16">
        <v>0</v>
      </c>
      <c r="S59" s="16">
        <f>H59/M59</f>
        <v>6.2242901762188149E-2</v>
      </c>
      <c r="T59" s="16">
        <f>I59/M59</f>
        <v>7.9325458541663993E-2</v>
      </c>
      <c r="U59" s="16">
        <v>0</v>
      </c>
      <c r="V59" s="16">
        <v>0</v>
      </c>
      <c r="W59" s="15">
        <f>L59/M59</f>
        <v>0.11242580429557461</v>
      </c>
    </row>
    <row r="60" spans="1:23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8">
        <v>218671</v>
      </c>
      <c r="M60" s="14">
        <v>930260</v>
      </c>
      <c r="N60" s="15">
        <v>0</v>
      </c>
      <c r="O60" s="15">
        <v>0</v>
      </c>
      <c r="P60" s="16">
        <v>0</v>
      </c>
      <c r="Q60" s="16">
        <v>0.46893879130565647</v>
      </c>
      <c r="R60" s="16">
        <v>0</v>
      </c>
      <c r="S60" s="16">
        <v>0.13013996087115431</v>
      </c>
      <c r="T60" s="16">
        <v>0.16585685722271193</v>
      </c>
      <c r="U60" s="16">
        <v>0</v>
      </c>
      <c r="V60" s="16">
        <v>0</v>
      </c>
      <c r="W60" s="15">
        <v>0.23506439060047729</v>
      </c>
    </row>
    <row r="61" spans="1:23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8">
        <v>218671</v>
      </c>
      <c r="M61" s="14">
        <f>SUM(C61:L61)</f>
        <v>1204798</v>
      </c>
      <c r="N61" s="15">
        <f>C61/M61</f>
        <v>0.11067249447625245</v>
      </c>
      <c r="O61" s="15">
        <v>0</v>
      </c>
      <c r="P61" s="16">
        <f>F61/M61</f>
        <v>0.11719806971791122</v>
      </c>
      <c r="Q61" s="16">
        <f>E61/M61</f>
        <v>0.36208144435830736</v>
      </c>
      <c r="R61" s="16">
        <v>0</v>
      </c>
      <c r="S61" s="16">
        <f>H61/M61</f>
        <v>0.10048489456323799</v>
      </c>
      <c r="T61" s="16">
        <f>I61/M61</f>
        <v>0.12806296159190173</v>
      </c>
      <c r="U61" s="16">
        <v>0</v>
      </c>
      <c r="V61" s="16">
        <v>0</v>
      </c>
      <c r="W61" s="15">
        <f>L61/M61</f>
        <v>0.18150013529238926</v>
      </c>
    </row>
    <row r="62" spans="1:23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8">
        <v>54671</v>
      </c>
      <c r="M62" s="14">
        <v>396282.31</v>
      </c>
      <c r="N62" s="15">
        <v>0</v>
      </c>
      <c r="O62" s="15">
        <v>0.86204027123996529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5">
        <v>0.13795972876003473</v>
      </c>
    </row>
    <row r="63" spans="1:23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8">
        <v>54671</v>
      </c>
      <c r="M63" s="14">
        <v>395802.31</v>
      </c>
      <c r="N63" s="15">
        <v>0</v>
      </c>
      <c r="O63" s="15">
        <v>0.86187296380357159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5">
        <v>0.13812703619642847</v>
      </c>
    </row>
    <row r="64" spans="1:23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8">
        <v>54671</v>
      </c>
      <c r="M64" s="14">
        <v>396617.31</v>
      </c>
      <c r="N64" s="15">
        <v>0</v>
      </c>
      <c r="O64" s="15">
        <v>0.8621567979471193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5">
        <v>0.13784320205288064</v>
      </c>
    </row>
    <row r="65" spans="1:23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8">
        <v>54671</v>
      </c>
      <c r="M65" s="14">
        <v>396917.31</v>
      </c>
      <c r="N65" s="15">
        <v>0</v>
      </c>
      <c r="O65" s="15">
        <v>0.86226098327634038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5">
        <v>0.13773901672365965</v>
      </c>
    </row>
    <row r="66" spans="1:23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8">
        <v>54671</v>
      </c>
      <c r="M66" s="14">
        <v>399269.72</v>
      </c>
      <c r="N66" s="15">
        <v>0.14977093679931452</v>
      </c>
      <c r="O66" s="15">
        <v>0.71330157468490218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5">
        <v>0.13692748851578326</v>
      </c>
    </row>
    <row r="67" spans="1:23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8">
        <v>54671</v>
      </c>
      <c r="M67" s="14">
        <v>926093</v>
      </c>
      <c r="N67" s="15">
        <v>0.94096597209999433</v>
      </c>
      <c r="O67" s="15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5">
        <v>5.9034027900005726E-2</v>
      </c>
    </row>
    <row r="68" spans="1:23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8">
        <v>54671</v>
      </c>
      <c r="M68" s="14">
        <v>794093</v>
      </c>
      <c r="N68" s="15">
        <v>0.93115290022705144</v>
      </c>
      <c r="O68" s="15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5">
        <v>6.8847099772948506E-2</v>
      </c>
    </row>
    <row r="69" spans="1:23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8">
        <v>0</v>
      </c>
      <c r="M69" s="14">
        <f t="shared" ref="M69:M94" si="0">SUM(C69:L69)</f>
        <v>407651</v>
      </c>
      <c r="N69" s="15">
        <v>0.25051515991027662</v>
      </c>
      <c r="O69" s="15">
        <v>0.74948484008972338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5">
        <v>0</v>
      </c>
    </row>
    <row r="70" spans="1:23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8">
        <v>0</v>
      </c>
      <c r="M70" s="14">
        <f t="shared" si="0"/>
        <v>408551</v>
      </c>
      <c r="N70" s="15">
        <f t="shared" ref="N70:N75" si="1">C70/M70</f>
        <v>0.24736201845057287</v>
      </c>
      <c r="O70" s="15">
        <f t="shared" ref="O70:O75" si="2">D70/M70</f>
        <v>0.75263798154942707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5">
        <v>0</v>
      </c>
    </row>
    <row r="71" spans="1:23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8">
        <v>0</v>
      </c>
      <c r="M71" s="14">
        <f t="shared" si="0"/>
        <v>408551</v>
      </c>
      <c r="N71" s="15">
        <f t="shared" si="1"/>
        <v>0.24736201845057287</v>
      </c>
      <c r="O71" s="15">
        <f t="shared" si="2"/>
        <v>0.75263798154942707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5">
        <v>0</v>
      </c>
    </row>
    <row r="72" spans="1:23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8">
        <v>0</v>
      </c>
      <c r="M72" s="14">
        <f t="shared" si="0"/>
        <v>408551</v>
      </c>
      <c r="N72" s="15">
        <f t="shared" si="1"/>
        <v>0.24736201845057287</v>
      </c>
      <c r="O72" s="15">
        <f t="shared" si="2"/>
        <v>0.75263798154942707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5">
        <v>0</v>
      </c>
    </row>
    <row r="73" spans="1:23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8">
        <v>0</v>
      </c>
      <c r="M73" s="14">
        <f t="shared" si="0"/>
        <v>409358</v>
      </c>
      <c r="N73" s="15">
        <f t="shared" si="1"/>
        <v>0.45189296410476892</v>
      </c>
      <c r="O73" s="15">
        <f t="shared" si="2"/>
        <v>0.54810703589523102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5">
        <v>0</v>
      </c>
    </row>
    <row r="74" spans="1:23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8">
        <v>120370</v>
      </c>
      <c r="M74" s="14">
        <f t="shared" si="0"/>
        <v>563114</v>
      </c>
      <c r="N74" s="15">
        <f t="shared" si="1"/>
        <v>0.74001534325198803</v>
      </c>
      <c r="O74" s="15">
        <f t="shared" si="2"/>
        <v>0</v>
      </c>
      <c r="P74" s="16">
        <v>0</v>
      </c>
      <c r="Q74" s="16">
        <v>0</v>
      </c>
      <c r="R74" s="16">
        <v>0</v>
      </c>
      <c r="S74" s="16">
        <v>0</v>
      </c>
      <c r="T74" s="16">
        <f t="shared" ref="T74:T79" si="3">I74/M74</f>
        <v>4.6226874132058518E-2</v>
      </c>
      <c r="U74" s="16">
        <f>L74/M74</f>
        <v>0.21375778261595343</v>
      </c>
      <c r="V74" s="16">
        <v>0</v>
      </c>
      <c r="W74" s="15">
        <v>0</v>
      </c>
    </row>
    <row r="75" spans="1:23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4">
        <f t="shared" si="0"/>
        <v>412405</v>
      </c>
      <c r="N75" s="15">
        <f t="shared" si="1"/>
        <v>0.52517307016161296</v>
      </c>
      <c r="O75" s="15">
        <f t="shared" si="2"/>
        <v>0.41170693856767016</v>
      </c>
      <c r="P75" s="16">
        <v>0</v>
      </c>
      <c r="Q75" s="16">
        <v>0</v>
      </c>
      <c r="R75" s="16">
        <v>0</v>
      </c>
      <c r="S75" s="16">
        <v>0</v>
      </c>
      <c r="T75" s="16">
        <f t="shared" si="3"/>
        <v>6.3119991270716894E-2</v>
      </c>
      <c r="U75" s="16">
        <f>L75/M75</f>
        <v>0</v>
      </c>
      <c r="V75" s="16">
        <v>0</v>
      </c>
      <c r="W75" s="15">
        <v>0</v>
      </c>
    </row>
    <row r="76" spans="1:23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8">
        <v>0</v>
      </c>
      <c r="M76" s="14">
        <f t="shared" si="0"/>
        <v>408536</v>
      </c>
      <c r="N76" s="15">
        <f t="shared" ref="N76" si="4">C76/M76</f>
        <v>0.74552793389077099</v>
      </c>
      <c r="O76" s="15">
        <f t="shared" ref="O76" si="5">D76/M76</f>
        <v>0.25447206610922907</v>
      </c>
      <c r="P76" s="16">
        <v>0</v>
      </c>
      <c r="Q76" s="16">
        <v>0</v>
      </c>
      <c r="R76" s="16">
        <v>0</v>
      </c>
      <c r="S76" s="16">
        <v>0</v>
      </c>
      <c r="T76" s="16">
        <f t="shared" si="3"/>
        <v>0</v>
      </c>
      <c r="U76" s="16">
        <f>L76/M76</f>
        <v>0</v>
      </c>
      <c r="V76" s="16">
        <v>0</v>
      </c>
      <c r="W76" s="15">
        <v>0</v>
      </c>
    </row>
    <row r="77" spans="1:23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8">
        <v>0</v>
      </c>
      <c r="M77" s="14">
        <f t="shared" si="0"/>
        <v>406109</v>
      </c>
      <c r="N77" s="15">
        <f t="shared" ref="N77" si="6">C77/M77</f>
        <v>0.96410569576148275</v>
      </c>
      <c r="O77" s="15">
        <f t="shared" ref="O77" si="7">D77/M77</f>
        <v>3.5894304238517243E-2</v>
      </c>
      <c r="P77" s="16">
        <v>0</v>
      </c>
      <c r="Q77" s="16">
        <v>0</v>
      </c>
      <c r="R77" s="16">
        <v>0</v>
      </c>
      <c r="S77" s="16">
        <v>0</v>
      </c>
      <c r="T77" s="16">
        <f t="shared" si="3"/>
        <v>0</v>
      </c>
      <c r="U77" s="16">
        <f>L77/M77</f>
        <v>0</v>
      </c>
      <c r="V77" s="16">
        <v>0</v>
      </c>
      <c r="W77" s="15">
        <v>0</v>
      </c>
    </row>
    <row r="78" spans="1:23" x14ac:dyDescent="0.25">
      <c r="A78" s="10">
        <v>46281</v>
      </c>
      <c r="B78" s="11">
        <f>B77+5870</f>
        <v>411979</v>
      </c>
      <c r="C78" s="19">
        <v>288016</v>
      </c>
      <c r="D78" s="13">
        <f>B78-C78-L78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8">
        <v>88000</v>
      </c>
      <c r="M78" s="14">
        <f t="shared" si="0"/>
        <v>411979</v>
      </c>
      <c r="N78" s="15">
        <f t="shared" ref="N78" si="8">C78/M78</f>
        <v>0.69910359508615727</v>
      </c>
      <c r="O78" s="15">
        <f t="shared" ref="O78" si="9">D78/M78</f>
        <v>8.7293284366436158E-2</v>
      </c>
      <c r="P78" s="16">
        <v>0</v>
      </c>
      <c r="Q78" s="16">
        <v>0</v>
      </c>
      <c r="R78" s="16">
        <v>0</v>
      </c>
      <c r="S78" s="16">
        <v>0</v>
      </c>
      <c r="T78" s="16">
        <f t="shared" si="3"/>
        <v>0</v>
      </c>
      <c r="U78" s="16">
        <v>0</v>
      </c>
      <c r="V78" s="16">
        <v>0</v>
      </c>
      <c r="W78" s="16">
        <f t="shared" ref="W78:W83" si="10">L78/M78</f>
        <v>0.21360312054740654</v>
      </c>
    </row>
    <row r="79" spans="1:23" x14ac:dyDescent="0.25">
      <c r="A79" s="10">
        <v>46282</v>
      </c>
      <c r="B79" s="11">
        <v>415663</v>
      </c>
      <c r="C79" s="19">
        <v>235136</v>
      </c>
      <c r="D79" s="13">
        <f>B79-C79-L79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8">
        <v>44000</v>
      </c>
      <c r="M79" s="14">
        <f t="shared" si="0"/>
        <v>415663</v>
      </c>
      <c r="N79" s="15">
        <f t="shared" ref="N79" si="11">C79/M79</f>
        <v>0.56568903173965446</v>
      </c>
      <c r="O79" s="15">
        <f t="shared" ref="O79" si="12">D79/M79</f>
        <v>0.32845598477612875</v>
      </c>
      <c r="P79" s="16">
        <v>0</v>
      </c>
      <c r="Q79" s="16">
        <v>0</v>
      </c>
      <c r="R79" s="16">
        <v>0</v>
      </c>
      <c r="S79" s="16">
        <v>0</v>
      </c>
      <c r="T79" s="16">
        <f t="shared" si="3"/>
        <v>0</v>
      </c>
      <c r="U79" s="16">
        <v>0</v>
      </c>
      <c r="V79" s="16">
        <v>0</v>
      </c>
      <c r="W79" s="16">
        <f t="shared" si="10"/>
        <v>0.10585498348421678</v>
      </c>
    </row>
    <row r="80" spans="1:23" x14ac:dyDescent="0.25">
      <c r="A80" s="10">
        <v>46283</v>
      </c>
      <c r="B80" s="11">
        <v>413875</v>
      </c>
      <c r="C80" s="19">
        <v>17795</v>
      </c>
      <c r="D80" s="13">
        <f>B80-C80-L80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8">
        <v>44000</v>
      </c>
      <c r="M80" s="14">
        <f t="shared" si="0"/>
        <v>413875</v>
      </c>
      <c r="N80" s="15">
        <f t="shared" ref="N80" si="13">C80/M80</f>
        <v>4.299607369374811E-2</v>
      </c>
      <c r="O80" s="15">
        <f t="shared" ref="O80" si="14">D80/M80</f>
        <v>0.85069163394744796</v>
      </c>
      <c r="P80" s="16">
        <v>0</v>
      </c>
      <c r="Q80" s="16">
        <v>0</v>
      </c>
      <c r="R80" s="16">
        <v>0</v>
      </c>
      <c r="S80" s="16">
        <v>0</v>
      </c>
      <c r="T80" s="16">
        <f t="shared" ref="T80" si="15">I80/M80</f>
        <v>0</v>
      </c>
      <c r="U80" s="16">
        <v>0</v>
      </c>
      <c r="V80" s="16">
        <v>0</v>
      </c>
      <c r="W80" s="16">
        <f t="shared" si="10"/>
        <v>0.10631229235880399</v>
      </c>
    </row>
    <row r="81" spans="1:23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8">
        <v>44000</v>
      </c>
      <c r="M81" s="14">
        <f t="shared" si="0"/>
        <v>504892</v>
      </c>
      <c r="N81" s="15">
        <f t="shared" ref="N81" si="16">C81/M81</f>
        <v>0.60245359403595222</v>
      </c>
      <c r="O81" s="15">
        <f t="shared" ref="O81" si="17">D81/M81</f>
        <v>0</v>
      </c>
      <c r="P81" s="16">
        <v>0</v>
      </c>
      <c r="Q81" s="16">
        <v>0</v>
      </c>
      <c r="R81" s="16">
        <v>0</v>
      </c>
      <c r="S81" s="16">
        <v>0</v>
      </c>
      <c r="T81" s="16">
        <f t="shared" ref="T81" si="18">I81/M81</f>
        <v>0.31039905563962195</v>
      </c>
      <c r="U81" s="16">
        <v>0</v>
      </c>
      <c r="V81" s="16">
        <v>0</v>
      </c>
      <c r="W81" s="16">
        <f t="shared" si="10"/>
        <v>8.7147350324425818E-2</v>
      </c>
    </row>
    <row r="82" spans="1:23" x14ac:dyDescent="0.25">
      <c r="A82" s="10">
        <v>46287</v>
      </c>
      <c r="B82" s="11">
        <v>418389</v>
      </c>
      <c r="C82" s="19">
        <v>292095</v>
      </c>
      <c r="D82" s="13">
        <f>B82-C82-L82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8">
        <v>44000</v>
      </c>
      <c r="M82" s="14">
        <f t="shared" si="0"/>
        <v>418389</v>
      </c>
      <c r="N82" s="15">
        <f t="shared" ref="N82:N83" si="19">C82/M82</f>
        <v>0.69814215956920478</v>
      </c>
      <c r="O82" s="15">
        <f t="shared" ref="O82:O83" si="20">D82/M82</f>
        <v>0.19669255166842339</v>
      </c>
      <c r="P82" s="16">
        <v>0</v>
      </c>
      <c r="Q82" s="16">
        <v>0</v>
      </c>
      <c r="R82" s="16">
        <v>0</v>
      </c>
      <c r="S82" s="16">
        <v>0</v>
      </c>
      <c r="T82" s="16">
        <f t="shared" ref="T82:T83" si="21">I82/M82</f>
        <v>0</v>
      </c>
      <c r="U82" s="16">
        <v>0</v>
      </c>
      <c r="V82" s="16">
        <v>0</v>
      </c>
      <c r="W82" s="16">
        <f t="shared" si="10"/>
        <v>0.10516528876237186</v>
      </c>
    </row>
    <row r="83" spans="1:23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8">
        <v>0</v>
      </c>
      <c r="M83" s="14">
        <f t="shared" si="0"/>
        <v>415890</v>
      </c>
      <c r="N83" s="15">
        <f t="shared" si="19"/>
        <v>0.13702421313328045</v>
      </c>
      <c r="O83" s="15">
        <f t="shared" si="20"/>
        <v>0.77713578109596293</v>
      </c>
      <c r="P83" s="15">
        <v>0</v>
      </c>
      <c r="Q83" s="15">
        <v>0</v>
      </c>
      <c r="R83" s="15">
        <v>0</v>
      </c>
      <c r="S83" s="15">
        <f t="shared" ref="S83:S88" si="22">H83/M83</f>
        <v>8.5840005770756692E-2</v>
      </c>
      <c r="T83" s="15">
        <f t="shared" si="21"/>
        <v>0</v>
      </c>
      <c r="U83" s="15">
        <v>0</v>
      </c>
      <c r="V83" s="16">
        <v>0</v>
      </c>
      <c r="W83" s="15">
        <f t="shared" si="10"/>
        <v>0</v>
      </c>
    </row>
    <row r="84" spans="1:23" x14ac:dyDescent="0.25">
      <c r="A84" s="10">
        <v>46289</v>
      </c>
      <c r="B84" s="11">
        <v>416077</v>
      </c>
      <c r="C84" s="19">
        <v>72287</v>
      </c>
      <c r="D84" s="13">
        <f>B84-C84-H84-K84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16220</v>
      </c>
      <c r="L84" s="18">
        <v>0</v>
      </c>
      <c r="M84" s="14">
        <f t="shared" si="0"/>
        <v>416077</v>
      </c>
      <c r="N84" s="15">
        <f t="shared" ref="N84" si="23">C84/M84</f>
        <v>0.17373466930399903</v>
      </c>
      <c r="O84" s="15">
        <f t="shared" ref="O84" si="24">D84/M84</f>
        <v>0.70148073553693191</v>
      </c>
      <c r="P84" s="15">
        <v>0</v>
      </c>
      <c r="Q84" s="15">
        <v>0</v>
      </c>
      <c r="R84" s="15">
        <v>0</v>
      </c>
      <c r="S84" s="15">
        <f t="shared" si="22"/>
        <v>8.5801426178327575E-2</v>
      </c>
      <c r="T84" s="15">
        <f t="shared" ref="T84" si="25">I84/M84</f>
        <v>0</v>
      </c>
      <c r="U84" s="15">
        <v>0</v>
      </c>
      <c r="V84" s="16">
        <f t="shared" ref="V84:V89" si="26">K84/M84</f>
        <v>3.8983168980741542E-2</v>
      </c>
      <c r="W84" s="15">
        <f t="shared" ref="W84" si="27">L84/M84</f>
        <v>0</v>
      </c>
    </row>
    <row r="85" spans="1:23" x14ac:dyDescent="0.25">
      <c r="A85" s="10">
        <v>46290</v>
      </c>
      <c r="B85" s="11">
        <v>419561</v>
      </c>
      <c r="C85" s="19">
        <v>72287</v>
      </c>
      <c r="D85" s="13">
        <f>B85-C85-H85-K85</f>
        <v>311574</v>
      </c>
      <c r="E85" s="13">
        <v>0</v>
      </c>
      <c r="F85" s="13">
        <v>0</v>
      </c>
      <c r="G85" s="13">
        <v>0</v>
      </c>
      <c r="H85" s="13">
        <v>35700</v>
      </c>
      <c r="I85" s="13">
        <v>0</v>
      </c>
      <c r="J85" s="13">
        <v>0</v>
      </c>
      <c r="K85" s="13">
        <v>0</v>
      </c>
      <c r="L85" s="18">
        <v>0</v>
      </c>
      <c r="M85" s="14">
        <f t="shared" si="0"/>
        <v>419561</v>
      </c>
      <c r="N85" s="15">
        <f t="shared" ref="N85" si="28">C85/M85</f>
        <v>0.17229199091431283</v>
      </c>
      <c r="O85" s="15">
        <f t="shared" ref="O85:O86" si="29">D85/M85</f>
        <v>0.74261907088599755</v>
      </c>
      <c r="P85" s="15">
        <v>0</v>
      </c>
      <c r="Q85" s="15">
        <v>0</v>
      </c>
      <c r="R85" s="15">
        <v>0</v>
      </c>
      <c r="S85" s="15">
        <f t="shared" si="22"/>
        <v>8.508893819968967E-2</v>
      </c>
      <c r="T85" s="15">
        <f t="shared" ref="T85" si="30">I85/M85</f>
        <v>0</v>
      </c>
      <c r="U85" s="15">
        <v>0</v>
      </c>
      <c r="V85" s="16">
        <f t="shared" si="26"/>
        <v>0</v>
      </c>
      <c r="W85" s="15">
        <f t="shared" ref="W85" si="31">L85/M85</f>
        <v>0</v>
      </c>
    </row>
    <row r="86" spans="1:23" x14ac:dyDescent="0.25">
      <c r="A86" s="10">
        <v>46293</v>
      </c>
      <c r="B86" s="11">
        <v>420061</v>
      </c>
      <c r="C86" s="19">
        <v>350539</v>
      </c>
      <c r="D86" s="13">
        <v>0</v>
      </c>
      <c r="E86" s="13">
        <v>0</v>
      </c>
      <c r="F86" s="13">
        <v>0</v>
      </c>
      <c r="G86" s="13">
        <v>0</v>
      </c>
      <c r="H86" s="13">
        <v>35700</v>
      </c>
      <c r="I86" s="13">
        <v>0</v>
      </c>
      <c r="J86" s="13">
        <v>0</v>
      </c>
      <c r="K86" s="13">
        <v>0</v>
      </c>
      <c r="L86" s="18">
        <v>41648</v>
      </c>
      <c r="M86" s="14">
        <f t="shared" si="0"/>
        <v>427887</v>
      </c>
      <c r="N86" s="15">
        <f t="shared" ref="N86" si="32">C86/M86</f>
        <v>0.81923264787198491</v>
      </c>
      <c r="O86" s="15">
        <f t="shared" si="29"/>
        <v>0</v>
      </c>
      <c r="P86" s="15">
        <v>0</v>
      </c>
      <c r="Q86" s="15">
        <v>0</v>
      </c>
      <c r="R86" s="15">
        <v>0</v>
      </c>
      <c r="S86" s="15">
        <f t="shared" si="22"/>
        <v>8.3433242888893561E-2</v>
      </c>
      <c r="T86" s="15">
        <f t="shared" ref="T86" si="33">I86/M86</f>
        <v>0</v>
      </c>
      <c r="U86" s="15">
        <v>0</v>
      </c>
      <c r="V86" s="16">
        <f t="shared" si="26"/>
        <v>0</v>
      </c>
      <c r="W86" s="15">
        <f t="shared" ref="W86" si="34">L86/M86</f>
        <v>9.7334109239121544E-2</v>
      </c>
    </row>
    <row r="87" spans="1:23" x14ac:dyDescent="0.25">
      <c r="A87" s="10">
        <v>46294</v>
      </c>
      <c r="B87" s="11">
        <v>417007</v>
      </c>
      <c r="C87" s="19">
        <v>348061</v>
      </c>
      <c r="D87" s="13">
        <v>0</v>
      </c>
      <c r="E87" s="13">
        <v>0</v>
      </c>
      <c r="F87" s="13">
        <v>0</v>
      </c>
      <c r="G87" s="13">
        <v>0</v>
      </c>
      <c r="H87" s="13">
        <v>52956</v>
      </c>
      <c r="I87" s="13">
        <v>0</v>
      </c>
      <c r="J87" s="13">
        <v>0</v>
      </c>
      <c r="K87" s="13">
        <v>0</v>
      </c>
      <c r="L87" s="18">
        <v>208986</v>
      </c>
      <c r="M87" s="14">
        <f t="shared" si="0"/>
        <v>610003</v>
      </c>
      <c r="N87" s="15">
        <f t="shared" ref="N87" si="35">C87/M87</f>
        <v>0.57058899710329292</v>
      </c>
      <c r="O87" s="15">
        <f t="shared" ref="O87" si="36">D87/M87</f>
        <v>0</v>
      </c>
      <c r="P87" s="15">
        <v>0</v>
      </c>
      <c r="Q87" s="15">
        <v>0</v>
      </c>
      <c r="R87" s="15">
        <v>0</v>
      </c>
      <c r="S87" s="15">
        <f t="shared" si="22"/>
        <v>8.6812687806453417E-2</v>
      </c>
      <c r="T87" s="15">
        <f t="shared" ref="T87" si="37">I87/M87</f>
        <v>0</v>
      </c>
      <c r="U87" s="15">
        <v>0</v>
      </c>
      <c r="V87" s="16">
        <f t="shared" si="26"/>
        <v>0</v>
      </c>
      <c r="W87" s="15">
        <f t="shared" ref="W87" si="38">L87/M87</f>
        <v>0.34259831509025368</v>
      </c>
    </row>
    <row r="88" spans="1:23" x14ac:dyDescent="0.25">
      <c r="A88" s="10">
        <v>46295</v>
      </c>
      <c r="B88" s="11">
        <v>417135</v>
      </c>
      <c r="C88" s="19">
        <v>279688</v>
      </c>
      <c r="D88" s="13">
        <v>0</v>
      </c>
      <c r="E88" s="13">
        <v>0</v>
      </c>
      <c r="F88" s="13">
        <v>0</v>
      </c>
      <c r="G88" s="13">
        <v>0</v>
      </c>
      <c r="H88" s="13">
        <v>52956</v>
      </c>
      <c r="I88" s="13">
        <v>0</v>
      </c>
      <c r="J88" s="13">
        <v>0</v>
      </c>
      <c r="K88" s="13">
        <v>0</v>
      </c>
      <c r="L88" s="18">
        <v>240039</v>
      </c>
      <c r="M88" s="14">
        <f t="shared" si="0"/>
        <v>572683</v>
      </c>
      <c r="N88" s="15">
        <f t="shared" ref="N88" si="39">C88/M88</f>
        <v>0.4883818796786355</v>
      </c>
      <c r="O88" s="15">
        <f t="shared" ref="O88" si="40">D88/M88</f>
        <v>0</v>
      </c>
      <c r="P88" s="15">
        <v>0</v>
      </c>
      <c r="Q88" s="15">
        <v>0</v>
      </c>
      <c r="R88" s="15">
        <v>0</v>
      </c>
      <c r="S88" s="15">
        <f t="shared" si="22"/>
        <v>9.2470005221038515E-2</v>
      </c>
      <c r="T88" s="15">
        <f t="shared" ref="T88" si="41">I88/M88</f>
        <v>0</v>
      </c>
      <c r="U88" s="15">
        <v>0</v>
      </c>
      <c r="V88" s="16">
        <f t="shared" si="26"/>
        <v>0</v>
      </c>
      <c r="W88" s="15">
        <f t="shared" ref="W88" si="42">L88/M88</f>
        <v>0.41914811510032601</v>
      </c>
    </row>
    <row r="89" spans="1:23" x14ac:dyDescent="0.25">
      <c r="A89" s="10">
        <v>46296</v>
      </c>
      <c r="B89" s="11">
        <v>417510</v>
      </c>
      <c r="C89" s="19">
        <v>164387</v>
      </c>
      <c r="D89" s="13">
        <f>B89-C89-H89-L89</f>
        <v>13084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8">
        <v>240039</v>
      </c>
      <c r="M89" s="14">
        <f t="shared" si="0"/>
        <v>417510</v>
      </c>
      <c r="N89" s="15">
        <f t="shared" ref="N89" si="43">C89/M89</f>
        <v>0.39373188666139736</v>
      </c>
      <c r="O89" s="15">
        <f t="shared" ref="O89" si="44">D89/M89</f>
        <v>3.1338171540801416E-2</v>
      </c>
      <c r="P89" s="15">
        <v>0</v>
      </c>
      <c r="Q89" s="15">
        <v>0</v>
      </c>
      <c r="R89" s="15">
        <v>0</v>
      </c>
      <c r="S89" s="15">
        <f t="shared" ref="S89" si="45">H89/M89</f>
        <v>0</v>
      </c>
      <c r="T89" s="15">
        <f t="shared" ref="T89" si="46">I89/M89</f>
        <v>0</v>
      </c>
      <c r="U89" s="15">
        <v>0</v>
      </c>
      <c r="V89" s="16">
        <f t="shared" si="26"/>
        <v>0</v>
      </c>
      <c r="W89" s="15">
        <f t="shared" ref="W89" si="47">L89/M89</f>
        <v>0.57492994179780121</v>
      </c>
    </row>
    <row r="90" spans="1:23" x14ac:dyDescent="0.25">
      <c r="A90" s="10">
        <v>46297</v>
      </c>
      <c r="B90" s="11">
        <v>414176</v>
      </c>
      <c r="C90" s="19">
        <v>115219</v>
      </c>
      <c r="D90" s="13">
        <f>B90-C90-H90-L90</f>
        <v>41258</v>
      </c>
      <c r="E90" s="13">
        <v>0</v>
      </c>
      <c r="F90" s="13">
        <v>0</v>
      </c>
      <c r="G90" s="13">
        <v>0</v>
      </c>
      <c r="H90" s="13">
        <v>17660</v>
      </c>
      <c r="I90" s="13">
        <v>0</v>
      </c>
      <c r="J90" s="13">
        <v>0</v>
      </c>
      <c r="K90" s="13">
        <v>0</v>
      </c>
      <c r="L90" s="18">
        <v>240039</v>
      </c>
      <c r="M90" s="14">
        <f t="shared" si="0"/>
        <v>414176</v>
      </c>
      <c r="N90" s="15">
        <f t="shared" ref="N90" si="48">C90/M90</f>
        <v>0.27818849957505987</v>
      </c>
      <c r="O90" s="15">
        <f t="shared" ref="O90" si="49">D90/M90</f>
        <v>9.9614656571119523E-2</v>
      </c>
      <c r="P90" s="15">
        <v>0</v>
      </c>
      <c r="Q90" s="15">
        <v>0</v>
      </c>
      <c r="R90" s="15">
        <v>0</v>
      </c>
      <c r="S90" s="15">
        <f t="shared" ref="S90" si="50">H90/M90</f>
        <v>4.2638878158077723E-2</v>
      </c>
      <c r="T90" s="15">
        <f t="shared" ref="T90" si="51">I90/M90</f>
        <v>0</v>
      </c>
      <c r="U90" s="15">
        <v>0</v>
      </c>
      <c r="V90" s="16">
        <f t="shared" ref="V90" si="52">K90/M90</f>
        <v>0</v>
      </c>
      <c r="W90" s="15">
        <f t="shared" ref="W90" si="53">L90/M90</f>
        <v>0.57955796569574292</v>
      </c>
    </row>
    <row r="91" spans="1:23" x14ac:dyDescent="0.25">
      <c r="A91" s="10">
        <v>46300</v>
      </c>
      <c r="B91" s="11">
        <v>412376</v>
      </c>
      <c r="C91" s="19">
        <v>222194</v>
      </c>
      <c r="D91" s="13">
        <v>0</v>
      </c>
      <c r="E91" s="13">
        <v>1406000</v>
      </c>
      <c r="F91" s="13">
        <v>0</v>
      </c>
      <c r="G91" s="13">
        <v>0</v>
      </c>
      <c r="H91" s="13">
        <v>17660</v>
      </c>
      <c r="I91" s="13">
        <v>0</v>
      </c>
      <c r="J91" s="13">
        <v>0</v>
      </c>
      <c r="K91" s="13">
        <v>0</v>
      </c>
      <c r="L91" s="18">
        <v>240039</v>
      </c>
      <c r="M91" s="14">
        <f t="shared" si="0"/>
        <v>1885893</v>
      </c>
      <c r="N91" s="15">
        <f t="shared" ref="N91" si="54">C91/M91</f>
        <v>0.11781898548857225</v>
      </c>
      <c r="O91" s="15">
        <f t="shared" ref="O91" si="55">D91/M91</f>
        <v>0</v>
      </c>
      <c r="P91" s="15">
        <v>0</v>
      </c>
      <c r="Q91" s="15">
        <f>E91/M91</f>
        <v>0.74553540418252784</v>
      </c>
      <c r="R91" s="15">
        <v>0</v>
      </c>
      <c r="S91" s="15">
        <f t="shared" ref="S91" si="56">H91/M91</f>
        <v>9.3642640383097032E-3</v>
      </c>
      <c r="T91" s="15">
        <f t="shared" ref="T91" si="57">I91/M91</f>
        <v>0</v>
      </c>
      <c r="U91" s="15">
        <v>0</v>
      </c>
      <c r="V91" s="16">
        <f t="shared" ref="V91" si="58">K91/M91</f>
        <v>0</v>
      </c>
      <c r="W91" s="15">
        <f t="shared" ref="W91" si="59">L91/M91</f>
        <v>0.12728134629059018</v>
      </c>
    </row>
    <row r="92" spans="1:23" x14ac:dyDescent="0.25">
      <c r="A92" s="10">
        <v>46301</v>
      </c>
      <c r="B92" s="11">
        <v>408266</v>
      </c>
      <c r="C92" s="19">
        <v>160440</v>
      </c>
      <c r="D92" s="13">
        <f>B92-C92-H92-L92</f>
        <v>230166</v>
      </c>
      <c r="E92" s="13">
        <v>0</v>
      </c>
      <c r="F92" s="13">
        <v>0</v>
      </c>
      <c r="G92" s="13">
        <v>0</v>
      </c>
      <c r="H92" s="13">
        <v>17660</v>
      </c>
      <c r="I92" s="13">
        <v>0</v>
      </c>
      <c r="J92" s="13">
        <v>0</v>
      </c>
      <c r="K92" s="13">
        <v>0</v>
      </c>
      <c r="L92" s="18">
        <v>0</v>
      </c>
      <c r="M92" s="14">
        <f t="shared" si="0"/>
        <v>408266</v>
      </c>
      <c r="N92" s="15">
        <f t="shared" ref="N92" si="60">C92/M92</f>
        <v>0.3929790871637609</v>
      </c>
      <c r="O92" s="15">
        <f t="shared" ref="O92" si="61">D92/M92</f>
        <v>0.56376480039973942</v>
      </c>
      <c r="P92" s="15">
        <v>0</v>
      </c>
      <c r="Q92" s="15">
        <f>E92/M92</f>
        <v>0</v>
      </c>
      <c r="R92" s="15">
        <v>0</v>
      </c>
      <c r="S92" s="15">
        <f t="shared" ref="S92" si="62">H92/M92</f>
        <v>4.3256112436499732E-2</v>
      </c>
      <c r="T92" s="15">
        <f t="shared" ref="T92" si="63">I92/M92</f>
        <v>0</v>
      </c>
      <c r="U92" s="15">
        <v>0</v>
      </c>
      <c r="V92" s="16">
        <f t="shared" ref="V92" si="64">K92/M92</f>
        <v>0</v>
      </c>
      <c r="W92" s="15">
        <f t="shared" ref="W92" si="65">L92/M92</f>
        <v>0</v>
      </c>
    </row>
    <row r="93" spans="1:23" x14ac:dyDescent="0.25">
      <c r="A93" s="10">
        <v>46302</v>
      </c>
      <c r="B93" s="11">
        <v>417331</v>
      </c>
      <c r="C93" s="19">
        <v>160440</v>
      </c>
      <c r="D93" s="13">
        <v>0</v>
      </c>
      <c r="E93" s="13">
        <v>2101875</v>
      </c>
      <c r="F93" s="13">
        <v>0</v>
      </c>
      <c r="G93" s="13">
        <v>0</v>
      </c>
      <c r="H93" s="13">
        <v>17660</v>
      </c>
      <c r="I93" s="13">
        <v>0</v>
      </c>
      <c r="J93" s="13">
        <v>0</v>
      </c>
      <c r="K93" s="13">
        <v>0</v>
      </c>
      <c r="L93" s="18">
        <v>0</v>
      </c>
      <c r="M93" s="14">
        <f t="shared" si="0"/>
        <v>2279975</v>
      </c>
      <c r="N93" s="15">
        <f t="shared" ref="N93" si="66">C93/M93</f>
        <v>7.0369192644656187E-2</v>
      </c>
      <c r="O93" s="15">
        <f t="shared" ref="O93" si="67">D93/M93</f>
        <v>0</v>
      </c>
      <c r="P93" s="15">
        <v>0</v>
      </c>
      <c r="Q93" s="15">
        <f>E93/M93</f>
        <v>0.92188510838934634</v>
      </c>
      <c r="R93" s="15">
        <v>0</v>
      </c>
      <c r="S93" s="15">
        <f t="shared" ref="S93" si="68">H93/M93</f>
        <v>7.7456989659974345E-3</v>
      </c>
      <c r="T93" s="15">
        <f t="shared" ref="T93" si="69">I93/M93</f>
        <v>0</v>
      </c>
      <c r="U93" s="15">
        <v>0</v>
      </c>
      <c r="V93" s="16">
        <f t="shared" ref="V93" si="70">K93/M93</f>
        <v>0</v>
      </c>
      <c r="W93" s="15">
        <f t="shared" ref="W93" si="71">L93/M93</f>
        <v>0</v>
      </c>
    </row>
    <row r="94" spans="1:23" x14ac:dyDescent="0.25">
      <c r="A94" s="10">
        <v>46303</v>
      </c>
      <c r="B94" s="11">
        <v>419689</v>
      </c>
      <c r="C94" s="19">
        <v>160440</v>
      </c>
      <c r="D94" s="13">
        <f>B94-C94-H94-L94-F94</f>
        <v>76400</v>
      </c>
      <c r="E94" s="13">
        <v>0</v>
      </c>
      <c r="F94" s="13">
        <v>165189</v>
      </c>
      <c r="G94" s="13">
        <v>0</v>
      </c>
      <c r="H94" s="13">
        <v>17660</v>
      </c>
      <c r="I94" s="13">
        <v>0</v>
      </c>
      <c r="J94" s="13">
        <v>0</v>
      </c>
      <c r="K94" s="13">
        <v>0</v>
      </c>
      <c r="L94" s="18">
        <v>0</v>
      </c>
      <c r="M94" s="14">
        <f t="shared" si="0"/>
        <v>419689</v>
      </c>
      <c r="N94" s="15">
        <f t="shared" ref="N94" si="72">C94/M94</f>
        <v>0.38228307151247709</v>
      </c>
      <c r="O94" s="15">
        <f t="shared" ref="O94" si="73">D94/M94</f>
        <v>0.18203955786308434</v>
      </c>
      <c r="P94" s="15">
        <f>F94/M94</f>
        <v>0.393598593244045</v>
      </c>
      <c r="Q94" s="15">
        <f>E94/M94</f>
        <v>0</v>
      </c>
      <c r="R94" s="15">
        <v>0</v>
      </c>
      <c r="S94" s="15">
        <f t="shared" ref="S94" si="74">H94/M94</f>
        <v>4.2078777380393576E-2</v>
      </c>
      <c r="T94" s="15">
        <f t="shared" ref="T94" si="75">I94/M94</f>
        <v>0</v>
      </c>
      <c r="U94" s="15">
        <v>0</v>
      </c>
      <c r="V94" s="16">
        <f t="shared" ref="V94" si="76">K94/M94</f>
        <v>0</v>
      </c>
      <c r="W94" s="15">
        <f t="shared" ref="W94" si="77">L94/M94</f>
        <v>0</v>
      </c>
    </row>
    <row r="1048543" spans="1:1" x14ac:dyDescent="0.25">
      <c r="A1048543" s="10"/>
    </row>
  </sheetData>
  <conditionalFormatting sqref="N2:W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119</v>
      </c>
      <c r="B1" s="4" t="s">
        <v>120</v>
      </c>
      <c r="C1" s="4" t="s">
        <v>121</v>
      </c>
      <c r="D1" s="4" t="s">
        <v>122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129</v>
      </c>
      <c r="L1" s="4" t="s">
        <v>130</v>
      </c>
    </row>
    <row r="2" spans="1:12" s="1" customFormat="1" x14ac:dyDescent="0.2">
      <c r="A2" s="3" t="s">
        <v>131</v>
      </c>
      <c r="B2" s="3" t="s">
        <v>132</v>
      </c>
      <c r="C2" s="3" t="s">
        <v>133</v>
      </c>
      <c r="D2" s="3" t="s">
        <v>134</v>
      </c>
      <c r="E2" s="3" t="s">
        <v>135</v>
      </c>
      <c r="F2" s="3" t="s">
        <v>136</v>
      </c>
      <c r="G2" s="3" t="s">
        <v>541</v>
      </c>
      <c r="H2" s="3" t="s">
        <v>138</v>
      </c>
      <c r="I2" s="3" t="s">
        <v>139</v>
      </c>
      <c r="J2" s="3" t="s">
        <v>140</v>
      </c>
      <c r="K2" s="3" t="s">
        <v>141</v>
      </c>
      <c r="L2" s="3" t="s">
        <v>142</v>
      </c>
    </row>
    <row r="3" spans="1:12" s="1" customFormat="1" x14ac:dyDescent="0.2">
      <c r="A3" s="3" t="s">
        <v>143</v>
      </c>
      <c r="B3" s="3" t="s">
        <v>144</v>
      </c>
      <c r="C3" s="3" t="s">
        <v>145</v>
      </c>
      <c r="D3" s="3" t="s">
        <v>146</v>
      </c>
      <c r="E3" s="3" t="s">
        <v>147</v>
      </c>
      <c r="F3" s="3" t="s">
        <v>148</v>
      </c>
      <c r="G3" s="3" t="s">
        <v>542</v>
      </c>
      <c r="H3" s="3" t="s">
        <v>150</v>
      </c>
      <c r="I3" s="3" t="s">
        <v>151</v>
      </c>
      <c r="J3" s="3" t="s">
        <v>152</v>
      </c>
      <c r="K3" s="3" t="s">
        <v>153</v>
      </c>
      <c r="L3" s="3" t="s">
        <v>154</v>
      </c>
    </row>
    <row r="4" spans="1:12" s="1" customFormat="1" x14ac:dyDescent="0.2">
      <c r="A4" s="3" t="s">
        <v>155</v>
      </c>
      <c r="B4" s="3" t="s">
        <v>156</v>
      </c>
      <c r="C4" s="3" t="s">
        <v>157</v>
      </c>
      <c r="D4" s="3" t="s">
        <v>158</v>
      </c>
      <c r="E4" s="3" t="s">
        <v>159</v>
      </c>
      <c r="F4" s="2"/>
      <c r="G4" s="3" t="s">
        <v>137</v>
      </c>
      <c r="H4" s="3" t="s">
        <v>161</v>
      </c>
      <c r="I4" s="3" t="s">
        <v>162</v>
      </c>
      <c r="J4" s="3" t="s">
        <v>163</v>
      </c>
      <c r="K4" s="3" t="s">
        <v>164</v>
      </c>
      <c r="L4" s="3" t="s">
        <v>165</v>
      </c>
    </row>
    <row r="5" spans="1:12" s="1" customFormat="1" x14ac:dyDescent="0.2">
      <c r="A5" s="3" t="s">
        <v>166</v>
      </c>
      <c r="B5" s="3" t="s">
        <v>167</v>
      </c>
      <c r="C5" s="3" t="s">
        <v>168</v>
      </c>
      <c r="D5" s="3" t="s">
        <v>169</v>
      </c>
      <c r="E5" s="3" t="s">
        <v>170</v>
      </c>
      <c r="F5" s="2"/>
      <c r="G5" s="3" t="s">
        <v>149</v>
      </c>
      <c r="H5" s="3" t="s">
        <v>172</v>
      </c>
      <c r="I5" s="3" t="s">
        <v>173</v>
      </c>
      <c r="J5" s="3" t="s">
        <v>174</v>
      </c>
      <c r="K5" s="3" t="s">
        <v>175</v>
      </c>
      <c r="L5" s="3" t="s">
        <v>176</v>
      </c>
    </row>
    <row r="6" spans="1:12" s="1" customFormat="1" x14ac:dyDescent="0.2">
      <c r="A6" s="3" t="s">
        <v>177</v>
      </c>
      <c r="B6" s="3" t="s">
        <v>178</v>
      </c>
      <c r="C6" s="3" t="s">
        <v>179</v>
      </c>
      <c r="D6" s="3" t="s">
        <v>180</v>
      </c>
      <c r="E6" s="3" t="s">
        <v>181</v>
      </c>
      <c r="F6" s="2"/>
      <c r="G6" s="3" t="s">
        <v>160</v>
      </c>
      <c r="H6" s="3" t="s">
        <v>183</v>
      </c>
      <c r="I6" s="3" t="s">
        <v>184</v>
      </c>
      <c r="J6" s="3" t="s">
        <v>185</v>
      </c>
      <c r="K6" s="3" t="s">
        <v>186</v>
      </c>
      <c r="L6" s="3" t="s">
        <v>187</v>
      </c>
    </row>
    <row r="7" spans="1:12" s="1" customFormat="1" x14ac:dyDescent="0.2">
      <c r="A7" s="3" t="s">
        <v>188</v>
      </c>
      <c r="B7" s="3" t="s">
        <v>189</v>
      </c>
      <c r="C7" s="3" t="s">
        <v>190</v>
      </c>
      <c r="D7" s="3" t="s">
        <v>191</v>
      </c>
      <c r="E7" s="3" t="s">
        <v>192</v>
      </c>
      <c r="F7" s="2"/>
      <c r="G7" s="3" t="s">
        <v>171</v>
      </c>
      <c r="H7" s="3" t="s">
        <v>194</v>
      </c>
      <c r="I7" s="3" t="s">
        <v>195</v>
      </c>
      <c r="J7" s="3" t="s">
        <v>196</v>
      </c>
      <c r="K7" s="3" t="s">
        <v>197</v>
      </c>
      <c r="L7" s="3" t="s">
        <v>198</v>
      </c>
    </row>
    <row r="8" spans="1:12" s="1" customFormat="1" x14ac:dyDescent="0.2">
      <c r="A8" s="3" t="s">
        <v>199</v>
      </c>
      <c r="B8" s="3" t="s">
        <v>200</v>
      </c>
      <c r="C8" s="3" t="s">
        <v>201</v>
      </c>
      <c r="D8" s="2"/>
      <c r="E8" s="3" t="s">
        <v>202</v>
      </c>
      <c r="F8" s="2"/>
      <c r="G8" s="3" t="s">
        <v>182</v>
      </c>
      <c r="H8" s="3" t="s">
        <v>204</v>
      </c>
      <c r="I8" s="3" t="s">
        <v>205</v>
      </c>
      <c r="J8" s="3" t="s">
        <v>206</v>
      </c>
      <c r="K8" s="3" t="s">
        <v>207</v>
      </c>
      <c r="L8" s="3" t="s">
        <v>208</v>
      </c>
    </row>
    <row r="9" spans="1:12" s="1" customFormat="1" x14ac:dyDescent="0.2">
      <c r="A9" s="3"/>
      <c r="B9" s="3" t="s">
        <v>209</v>
      </c>
      <c r="C9" s="3" t="s">
        <v>210</v>
      </c>
      <c r="D9" s="2"/>
      <c r="E9" s="3" t="s">
        <v>211</v>
      </c>
      <c r="F9" s="2"/>
      <c r="G9" s="3" t="s">
        <v>193</v>
      </c>
      <c r="H9" s="3" t="s">
        <v>213</v>
      </c>
      <c r="I9" s="3" t="s">
        <v>214</v>
      </c>
      <c r="J9" s="3" t="s">
        <v>215</v>
      </c>
      <c r="K9" s="3" t="s">
        <v>216</v>
      </c>
      <c r="L9" s="3" t="s">
        <v>217</v>
      </c>
    </row>
    <row r="10" spans="1:12" s="1" customFormat="1" x14ac:dyDescent="0.2">
      <c r="A10" s="3"/>
      <c r="B10" s="3" t="s">
        <v>218</v>
      </c>
      <c r="C10" s="3" t="s">
        <v>219</v>
      </c>
      <c r="D10" s="2"/>
      <c r="E10" s="2"/>
      <c r="F10" s="2"/>
      <c r="G10" s="3" t="s">
        <v>567</v>
      </c>
      <c r="H10" s="3" t="s">
        <v>221</v>
      </c>
      <c r="I10" s="3" t="s">
        <v>222</v>
      </c>
      <c r="J10" s="3" t="s">
        <v>223</v>
      </c>
      <c r="K10" s="3" t="s">
        <v>224</v>
      </c>
      <c r="L10" s="3" t="s">
        <v>225</v>
      </c>
    </row>
    <row r="11" spans="1:12" s="1" customFormat="1" x14ac:dyDescent="0.2">
      <c r="A11" s="3"/>
      <c r="B11" s="3" t="s">
        <v>226</v>
      </c>
      <c r="C11" s="3" t="s">
        <v>227</v>
      </c>
      <c r="D11" s="2"/>
      <c r="E11" s="2"/>
      <c r="F11" s="2"/>
      <c r="G11" s="3" t="s">
        <v>203</v>
      </c>
      <c r="H11" s="3" t="s">
        <v>229</v>
      </c>
      <c r="I11" s="3" t="s">
        <v>230</v>
      </c>
      <c r="J11" s="3" t="s">
        <v>231</v>
      </c>
      <c r="K11" s="3" t="s">
        <v>232</v>
      </c>
      <c r="L11" s="3" t="s">
        <v>233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212</v>
      </c>
      <c r="H12" s="3" t="s">
        <v>235</v>
      </c>
      <c r="I12" s="3" t="s">
        <v>236</v>
      </c>
      <c r="J12" s="3" t="s">
        <v>237</v>
      </c>
      <c r="K12" s="3" t="s">
        <v>534</v>
      </c>
      <c r="L12" s="3" t="s">
        <v>239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220</v>
      </c>
      <c r="H13" s="3"/>
      <c r="I13" s="3" t="s">
        <v>241</v>
      </c>
      <c r="J13" s="3" t="s">
        <v>242</v>
      </c>
      <c r="K13" s="3" t="s">
        <v>238</v>
      </c>
      <c r="L13" s="3" t="s">
        <v>244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228</v>
      </c>
      <c r="H14" s="3"/>
      <c r="I14" s="3" t="s">
        <v>246</v>
      </c>
      <c r="J14" s="3" t="s">
        <v>247</v>
      </c>
      <c r="K14" s="3" t="s">
        <v>243</v>
      </c>
      <c r="L14" s="3" t="s">
        <v>249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234</v>
      </c>
      <c r="H15" s="3"/>
      <c r="I15" s="3" t="s">
        <v>251</v>
      </c>
      <c r="J15" s="3" t="s">
        <v>252</v>
      </c>
      <c r="K15" s="3" t="s">
        <v>248</v>
      </c>
      <c r="L15" s="3" t="s">
        <v>254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240</v>
      </c>
      <c r="H16" s="3"/>
      <c r="I16" s="3" t="s">
        <v>256</v>
      </c>
      <c r="J16" s="3" t="s">
        <v>257</v>
      </c>
      <c r="K16" s="3" t="s">
        <v>253</v>
      </c>
      <c r="L16" s="3" t="s">
        <v>259</v>
      </c>
    </row>
    <row r="17" spans="1:12" s="1" customFormat="1" x14ac:dyDescent="0.2">
      <c r="A17" s="3" t="s">
        <v>260</v>
      </c>
      <c r="B17" s="3">
        <v>7</v>
      </c>
      <c r="C17" s="2"/>
      <c r="D17" s="2"/>
      <c r="E17" s="2"/>
      <c r="F17" s="2"/>
      <c r="G17" s="3" t="s">
        <v>245</v>
      </c>
      <c r="H17" s="3"/>
      <c r="I17" s="3" t="s">
        <v>262</v>
      </c>
      <c r="J17" s="3" t="s">
        <v>263</v>
      </c>
      <c r="K17" s="3" t="s">
        <v>258</v>
      </c>
      <c r="L17" s="3" t="s">
        <v>265</v>
      </c>
    </row>
    <row r="18" spans="1:12" s="1" customFormat="1" x14ac:dyDescent="0.2">
      <c r="A18" s="3" t="s">
        <v>120</v>
      </c>
      <c r="B18" s="3">
        <v>10</v>
      </c>
      <c r="C18" s="2"/>
      <c r="D18" s="2"/>
      <c r="E18" s="2"/>
      <c r="F18" s="2"/>
      <c r="G18" s="3" t="s">
        <v>250</v>
      </c>
      <c r="H18" s="3"/>
      <c r="I18" s="3" t="s">
        <v>267</v>
      </c>
      <c r="J18" s="3" t="s">
        <v>268</v>
      </c>
      <c r="K18" s="3" t="s">
        <v>264</v>
      </c>
      <c r="L18" s="3" t="s">
        <v>270</v>
      </c>
    </row>
    <row r="19" spans="1:12" s="1" customFormat="1" x14ac:dyDescent="0.2">
      <c r="A19" s="3" t="s">
        <v>121</v>
      </c>
      <c r="B19" s="3">
        <v>10</v>
      </c>
      <c r="C19" s="2"/>
      <c r="D19" s="2"/>
      <c r="E19" s="2"/>
      <c r="F19" s="2"/>
      <c r="G19" s="3" t="s">
        <v>255</v>
      </c>
      <c r="H19" s="3"/>
      <c r="I19" s="3" t="s">
        <v>272</v>
      </c>
      <c r="J19" s="3" t="s">
        <v>273</v>
      </c>
      <c r="K19" s="3" t="s">
        <v>269</v>
      </c>
      <c r="L19" s="3" t="s">
        <v>275</v>
      </c>
    </row>
    <row r="20" spans="1:12" s="1" customFormat="1" x14ac:dyDescent="0.2">
      <c r="A20" s="3" t="s">
        <v>122</v>
      </c>
      <c r="B20" s="3">
        <v>6</v>
      </c>
      <c r="C20" s="2"/>
      <c r="D20" s="2"/>
      <c r="E20" s="2"/>
      <c r="F20" s="2"/>
      <c r="G20" s="3" t="s">
        <v>261</v>
      </c>
      <c r="H20" s="3"/>
      <c r="I20" s="3" t="s">
        <v>277</v>
      </c>
      <c r="J20" s="3" t="s">
        <v>278</v>
      </c>
      <c r="K20" s="3" t="s">
        <v>274</v>
      </c>
      <c r="L20" s="3" t="s">
        <v>280</v>
      </c>
    </row>
    <row r="21" spans="1:12" s="1" customFormat="1" x14ac:dyDescent="0.2">
      <c r="A21" s="3" t="s">
        <v>123</v>
      </c>
      <c r="B21" s="3">
        <v>8</v>
      </c>
      <c r="C21" s="2"/>
      <c r="D21" s="2"/>
      <c r="E21" s="2"/>
      <c r="F21" s="2"/>
      <c r="G21" s="3" t="s">
        <v>266</v>
      </c>
      <c r="H21" s="3"/>
      <c r="I21" s="3" t="s">
        <v>282</v>
      </c>
      <c r="J21" s="3" t="s">
        <v>283</v>
      </c>
      <c r="K21" s="3" t="s">
        <v>279</v>
      </c>
      <c r="L21" s="3" t="s">
        <v>285</v>
      </c>
    </row>
    <row r="22" spans="1:12" s="1" customFormat="1" x14ac:dyDescent="0.2">
      <c r="A22" s="3" t="s">
        <v>124</v>
      </c>
      <c r="B22" s="3">
        <v>2</v>
      </c>
      <c r="C22" s="2"/>
      <c r="D22" s="2"/>
      <c r="E22" s="2"/>
      <c r="F22" s="2"/>
      <c r="G22" s="3" t="s">
        <v>565</v>
      </c>
      <c r="H22" s="3"/>
      <c r="I22" s="3" t="s">
        <v>287</v>
      </c>
      <c r="J22" s="3" t="s">
        <v>288</v>
      </c>
      <c r="K22" s="3" t="s">
        <v>284</v>
      </c>
      <c r="L22" s="3" t="s">
        <v>289</v>
      </c>
    </row>
    <row r="23" spans="1:12" s="1" customFormat="1" x14ac:dyDescent="0.2">
      <c r="A23" s="3" t="s">
        <v>125</v>
      </c>
      <c r="B23" s="3">
        <v>149</v>
      </c>
      <c r="C23" s="2"/>
      <c r="D23" s="2"/>
      <c r="E23" s="2"/>
      <c r="F23" s="2"/>
      <c r="G23" s="3" t="s">
        <v>271</v>
      </c>
      <c r="H23" s="3"/>
      <c r="I23" s="3" t="s">
        <v>291</v>
      </c>
      <c r="J23" s="3" t="s">
        <v>292</v>
      </c>
      <c r="K23" s="3"/>
      <c r="L23" s="3" t="s">
        <v>293</v>
      </c>
    </row>
    <row r="24" spans="1:12" s="1" customFormat="1" x14ac:dyDescent="0.2">
      <c r="A24" s="3" t="s">
        <v>294</v>
      </c>
      <c r="B24" s="3">
        <v>11</v>
      </c>
      <c r="C24" s="2"/>
      <c r="D24" s="2"/>
      <c r="E24" s="2"/>
      <c r="F24" s="2"/>
      <c r="G24" s="3" t="s">
        <v>276</v>
      </c>
      <c r="H24" s="3"/>
      <c r="I24" s="3" t="s">
        <v>296</v>
      </c>
      <c r="J24" s="3" t="s">
        <v>297</v>
      </c>
      <c r="K24" s="3"/>
      <c r="L24" s="3"/>
    </row>
    <row r="25" spans="1:12" s="1" customFormat="1" x14ac:dyDescent="0.2">
      <c r="A25" s="3" t="s">
        <v>127</v>
      </c>
      <c r="B25" s="3">
        <v>97</v>
      </c>
      <c r="C25" s="2"/>
      <c r="D25" s="2"/>
      <c r="E25" s="2"/>
      <c r="F25" s="2"/>
      <c r="G25" s="3" t="s">
        <v>558</v>
      </c>
      <c r="H25" s="3"/>
      <c r="I25" s="3" t="s">
        <v>299</v>
      </c>
      <c r="J25" s="3" t="s">
        <v>300</v>
      </c>
      <c r="K25" s="3"/>
      <c r="L25" s="3"/>
    </row>
    <row r="26" spans="1:12" s="1" customFormat="1" x14ac:dyDescent="0.2">
      <c r="A26" s="3" t="s">
        <v>128</v>
      </c>
      <c r="B26" s="3">
        <v>32</v>
      </c>
      <c r="C26" s="2"/>
      <c r="D26" s="2"/>
      <c r="E26" s="2"/>
      <c r="F26" s="2"/>
      <c r="G26" s="3" t="s">
        <v>281</v>
      </c>
      <c r="H26" s="3"/>
      <c r="I26" s="3" t="s">
        <v>302</v>
      </c>
      <c r="J26" s="3" t="s">
        <v>303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286</v>
      </c>
      <c r="H27" s="3"/>
      <c r="I27" s="3" t="s">
        <v>305</v>
      </c>
      <c r="J27" s="3" t="s">
        <v>306</v>
      </c>
      <c r="K27" s="3"/>
      <c r="L27" s="3"/>
    </row>
    <row r="28" spans="1:12" s="1" customFormat="1" x14ac:dyDescent="0.2">
      <c r="A28" s="3" t="s">
        <v>130</v>
      </c>
      <c r="B28" s="3">
        <v>22</v>
      </c>
      <c r="C28" s="2"/>
      <c r="D28" s="2"/>
      <c r="E28" s="2"/>
      <c r="F28" s="2"/>
      <c r="G28" s="3" t="s">
        <v>290</v>
      </c>
      <c r="H28" s="3"/>
      <c r="I28" s="3" t="s">
        <v>308</v>
      </c>
      <c r="J28" s="3" t="s">
        <v>309</v>
      </c>
      <c r="K28" s="3"/>
      <c r="L28" s="3"/>
    </row>
    <row r="29" spans="1:12" s="1" customFormat="1" x14ac:dyDescent="0.2">
      <c r="A29" s="3" t="s">
        <v>310</v>
      </c>
      <c r="B29" s="3">
        <f>SUM(B17:B28)</f>
        <v>374</v>
      </c>
      <c r="C29" s="2"/>
      <c r="D29" s="2"/>
      <c r="E29" s="2"/>
      <c r="F29" s="2"/>
      <c r="G29" s="3" t="s">
        <v>295</v>
      </c>
      <c r="H29" s="3"/>
      <c r="I29" s="3" t="s">
        <v>312</v>
      </c>
      <c r="J29" s="3" t="s">
        <v>313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298</v>
      </c>
      <c r="H30" s="3"/>
      <c r="I30" s="3" t="s">
        <v>315</v>
      </c>
      <c r="J30" s="3" t="s">
        <v>316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560</v>
      </c>
      <c r="H31" s="3"/>
      <c r="I31" s="3" t="s">
        <v>318</v>
      </c>
      <c r="J31" s="3" t="s">
        <v>319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546</v>
      </c>
      <c r="H32" s="3"/>
      <c r="I32" s="3" t="s">
        <v>321</v>
      </c>
      <c r="J32" s="3" t="s">
        <v>322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572</v>
      </c>
      <c r="H33" s="3"/>
      <c r="I33" s="3" t="s">
        <v>324</v>
      </c>
      <c r="J33" s="3" t="s">
        <v>325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301</v>
      </c>
      <c r="H34" s="3"/>
      <c r="I34" s="3" t="s">
        <v>327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304</v>
      </c>
      <c r="H35" s="3"/>
      <c r="I35" s="3" t="s">
        <v>329</v>
      </c>
      <c r="J35" s="3"/>
      <c r="K35" s="2"/>
      <c r="L35" s="2"/>
    </row>
    <row r="36" spans="1:12" x14ac:dyDescent="0.2">
      <c r="G36" s="3" t="s">
        <v>307</v>
      </c>
      <c r="H36" s="3"/>
      <c r="I36" s="3" t="s">
        <v>331</v>
      </c>
    </row>
    <row r="37" spans="1:12" x14ac:dyDescent="0.2">
      <c r="G37" s="3" t="s">
        <v>311</v>
      </c>
      <c r="I37" s="3" t="s">
        <v>333</v>
      </c>
    </row>
    <row r="38" spans="1:12" x14ac:dyDescent="0.2">
      <c r="G38" s="3" t="s">
        <v>573</v>
      </c>
      <c r="I38" s="3" t="s">
        <v>335</v>
      </c>
    </row>
    <row r="39" spans="1:12" x14ac:dyDescent="0.2">
      <c r="G39" s="3" t="s">
        <v>549</v>
      </c>
      <c r="I39" s="3" t="s">
        <v>337</v>
      </c>
    </row>
    <row r="40" spans="1:12" x14ac:dyDescent="0.2">
      <c r="G40" s="3" t="s">
        <v>314</v>
      </c>
      <c r="I40" s="3" t="s">
        <v>339</v>
      </c>
    </row>
    <row r="41" spans="1:12" x14ac:dyDescent="0.2">
      <c r="G41" s="3" t="s">
        <v>317</v>
      </c>
      <c r="I41" s="3" t="s">
        <v>341</v>
      </c>
    </row>
    <row r="42" spans="1:12" x14ac:dyDescent="0.2">
      <c r="G42" s="3" t="s">
        <v>556</v>
      </c>
      <c r="I42" s="3" t="s">
        <v>343</v>
      </c>
    </row>
    <row r="43" spans="1:12" x14ac:dyDescent="0.2">
      <c r="G43" s="3" t="s">
        <v>320</v>
      </c>
      <c r="I43" s="3" t="s">
        <v>345</v>
      </c>
    </row>
    <row r="44" spans="1:12" x14ac:dyDescent="0.2">
      <c r="G44" s="3" t="s">
        <v>323</v>
      </c>
      <c r="I44" s="3" t="s">
        <v>347</v>
      </c>
    </row>
    <row r="45" spans="1:12" x14ac:dyDescent="0.2">
      <c r="G45" s="3" t="s">
        <v>554</v>
      </c>
      <c r="I45" s="3" t="s">
        <v>349</v>
      </c>
    </row>
    <row r="46" spans="1:12" x14ac:dyDescent="0.2">
      <c r="G46" s="3" t="s">
        <v>326</v>
      </c>
      <c r="I46" s="3" t="s">
        <v>351</v>
      </c>
    </row>
    <row r="47" spans="1:12" x14ac:dyDescent="0.2">
      <c r="G47" s="3" t="s">
        <v>328</v>
      </c>
      <c r="I47" s="3" t="s">
        <v>353</v>
      </c>
    </row>
    <row r="48" spans="1:12" x14ac:dyDescent="0.2">
      <c r="G48" s="3" t="s">
        <v>330</v>
      </c>
      <c r="I48" s="3" t="s">
        <v>355</v>
      </c>
    </row>
    <row r="49" spans="7:9" x14ac:dyDescent="0.2">
      <c r="G49" s="3" t="s">
        <v>557</v>
      </c>
      <c r="I49" s="3" t="s">
        <v>357</v>
      </c>
    </row>
    <row r="50" spans="7:9" x14ac:dyDescent="0.2">
      <c r="G50" s="3" t="s">
        <v>332</v>
      </c>
      <c r="I50" s="3" t="s">
        <v>359</v>
      </c>
    </row>
    <row r="51" spans="7:9" x14ac:dyDescent="0.2">
      <c r="G51" s="3" t="s">
        <v>334</v>
      </c>
      <c r="I51" s="3" t="s">
        <v>361</v>
      </c>
    </row>
    <row r="52" spans="7:9" x14ac:dyDescent="0.2">
      <c r="G52" s="3" t="s">
        <v>336</v>
      </c>
      <c r="I52" s="3" t="s">
        <v>363</v>
      </c>
    </row>
    <row r="53" spans="7:9" x14ac:dyDescent="0.2">
      <c r="G53" s="3" t="s">
        <v>338</v>
      </c>
      <c r="I53" s="3" t="s">
        <v>365</v>
      </c>
    </row>
    <row r="54" spans="7:9" x14ac:dyDescent="0.2">
      <c r="G54" s="3" t="s">
        <v>340</v>
      </c>
      <c r="I54" s="3" t="s">
        <v>367</v>
      </c>
    </row>
    <row r="55" spans="7:9" x14ac:dyDescent="0.2">
      <c r="G55" s="3" t="s">
        <v>342</v>
      </c>
      <c r="I55" s="3" t="s">
        <v>369</v>
      </c>
    </row>
    <row r="56" spans="7:9" x14ac:dyDescent="0.2">
      <c r="G56" s="3" t="s">
        <v>344</v>
      </c>
      <c r="I56" s="3" t="s">
        <v>371</v>
      </c>
    </row>
    <row r="57" spans="7:9" x14ac:dyDescent="0.2">
      <c r="G57" s="3" t="s">
        <v>346</v>
      </c>
      <c r="I57" s="3" t="s">
        <v>373</v>
      </c>
    </row>
    <row r="58" spans="7:9" x14ac:dyDescent="0.2">
      <c r="G58" s="3" t="s">
        <v>348</v>
      </c>
      <c r="I58" s="3" t="s">
        <v>375</v>
      </c>
    </row>
    <row r="59" spans="7:9" x14ac:dyDescent="0.2">
      <c r="G59" s="3" t="s">
        <v>350</v>
      </c>
      <c r="I59" s="3" t="s">
        <v>377</v>
      </c>
    </row>
    <row r="60" spans="7:9" x14ac:dyDescent="0.2">
      <c r="G60" s="3" t="s">
        <v>352</v>
      </c>
      <c r="I60" s="3" t="s">
        <v>379</v>
      </c>
    </row>
    <row r="61" spans="7:9" x14ac:dyDescent="0.2">
      <c r="G61" s="3" t="s">
        <v>570</v>
      </c>
      <c r="I61" s="3" t="s">
        <v>381</v>
      </c>
    </row>
    <row r="62" spans="7:9" x14ac:dyDescent="0.2">
      <c r="G62" s="3" t="s">
        <v>354</v>
      </c>
      <c r="I62" s="3" t="s">
        <v>383</v>
      </c>
    </row>
    <row r="63" spans="7:9" x14ac:dyDescent="0.2">
      <c r="G63" s="3" t="s">
        <v>356</v>
      </c>
      <c r="I63" s="3" t="s">
        <v>385</v>
      </c>
    </row>
    <row r="64" spans="7:9" x14ac:dyDescent="0.2">
      <c r="G64" s="3" t="s">
        <v>358</v>
      </c>
      <c r="I64" s="3" t="s">
        <v>387</v>
      </c>
    </row>
    <row r="65" spans="7:9" x14ac:dyDescent="0.2">
      <c r="G65" s="3" t="s">
        <v>360</v>
      </c>
      <c r="I65" s="3" t="s">
        <v>389</v>
      </c>
    </row>
    <row r="66" spans="7:9" x14ac:dyDescent="0.2">
      <c r="G66" s="3" t="s">
        <v>362</v>
      </c>
      <c r="I66" s="3" t="s">
        <v>391</v>
      </c>
    </row>
    <row r="67" spans="7:9" x14ac:dyDescent="0.2">
      <c r="G67" s="3" t="s">
        <v>364</v>
      </c>
      <c r="I67" s="3" t="s">
        <v>393</v>
      </c>
    </row>
    <row r="68" spans="7:9" x14ac:dyDescent="0.2">
      <c r="G68" s="3" t="s">
        <v>366</v>
      </c>
      <c r="I68" s="3" t="s">
        <v>395</v>
      </c>
    </row>
    <row r="69" spans="7:9" x14ac:dyDescent="0.2">
      <c r="G69" s="3" t="s">
        <v>368</v>
      </c>
      <c r="I69" s="3" t="s">
        <v>397</v>
      </c>
    </row>
    <row r="70" spans="7:9" x14ac:dyDescent="0.2">
      <c r="G70" s="3" t="s">
        <v>370</v>
      </c>
      <c r="I70" s="3" t="s">
        <v>399</v>
      </c>
    </row>
    <row r="71" spans="7:9" x14ac:dyDescent="0.2">
      <c r="G71" s="3" t="s">
        <v>372</v>
      </c>
      <c r="I71" s="3" t="s">
        <v>401</v>
      </c>
    </row>
    <row r="72" spans="7:9" x14ac:dyDescent="0.2">
      <c r="G72" s="3" t="s">
        <v>374</v>
      </c>
      <c r="I72" s="3" t="s">
        <v>403</v>
      </c>
    </row>
    <row r="73" spans="7:9" x14ac:dyDescent="0.2">
      <c r="G73" s="3" t="s">
        <v>376</v>
      </c>
      <c r="I73" s="3" t="s">
        <v>405</v>
      </c>
    </row>
    <row r="74" spans="7:9" x14ac:dyDescent="0.2">
      <c r="G74" s="3" t="s">
        <v>378</v>
      </c>
      <c r="I74" s="3" t="s">
        <v>407</v>
      </c>
    </row>
    <row r="75" spans="7:9" x14ac:dyDescent="0.2">
      <c r="G75" s="3" t="s">
        <v>562</v>
      </c>
      <c r="I75" s="3" t="s">
        <v>409</v>
      </c>
    </row>
    <row r="76" spans="7:9" x14ac:dyDescent="0.2">
      <c r="G76" s="3" t="s">
        <v>380</v>
      </c>
      <c r="I76" s="3" t="s">
        <v>411</v>
      </c>
    </row>
    <row r="77" spans="7:9" x14ac:dyDescent="0.2">
      <c r="G77" s="3" t="s">
        <v>382</v>
      </c>
      <c r="I77" s="3" t="s">
        <v>413</v>
      </c>
    </row>
    <row r="78" spans="7:9" x14ac:dyDescent="0.2">
      <c r="G78" s="3" t="s">
        <v>384</v>
      </c>
      <c r="I78" s="3" t="s">
        <v>415</v>
      </c>
    </row>
    <row r="79" spans="7:9" x14ac:dyDescent="0.2">
      <c r="G79" s="3" t="s">
        <v>386</v>
      </c>
      <c r="I79" s="3" t="s">
        <v>417</v>
      </c>
    </row>
    <row r="80" spans="7:9" x14ac:dyDescent="0.2">
      <c r="G80" s="3" t="s">
        <v>388</v>
      </c>
      <c r="I80" s="3" t="s">
        <v>419</v>
      </c>
    </row>
    <row r="81" spans="7:9" x14ac:dyDescent="0.2">
      <c r="G81" s="3" t="s">
        <v>390</v>
      </c>
      <c r="I81" s="3" t="s">
        <v>421</v>
      </c>
    </row>
    <row r="82" spans="7:9" x14ac:dyDescent="0.2">
      <c r="G82" s="3" t="s">
        <v>392</v>
      </c>
      <c r="I82" s="3" t="s">
        <v>423</v>
      </c>
    </row>
    <row r="83" spans="7:9" x14ac:dyDescent="0.2">
      <c r="G83" s="3" t="s">
        <v>394</v>
      </c>
      <c r="I83" s="3" t="s">
        <v>425</v>
      </c>
    </row>
    <row r="84" spans="7:9" x14ac:dyDescent="0.2">
      <c r="G84" s="3" t="s">
        <v>396</v>
      </c>
      <c r="I84" s="3" t="s">
        <v>427</v>
      </c>
    </row>
    <row r="85" spans="7:9" x14ac:dyDescent="0.2">
      <c r="G85" s="3" t="s">
        <v>398</v>
      </c>
      <c r="I85" s="3" t="s">
        <v>429</v>
      </c>
    </row>
    <row r="86" spans="7:9" x14ac:dyDescent="0.2">
      <c r="G86" s="3" t="s">
        <v>400</v>
      </c>
      <c r="I86" s="3" t="s">
        <v>431</v>
      </c>
    </row>
    <row r="87" spans="7:9" x14ac:dyDescent="0.2">
      <c r="G87" s="3" t="s">
        <v>402</v>
      </c>
      <c r="I87" s="3" t="s">
        <v>433</v>
      </c>
    </row>
    <row r="88" spans="7:9" x14ac:dyDescent="0.2">
      <c r="G88" s="3" t="s">
        <v>404</v>
      </c>
      <c r="I88" s="3" t="s">
        <v>435</v>
      </c>
    </row>
    <row r="89" spans="7:9" x14ac:dyDescent="0.2">
      <c r="G89" s="3" t="s">
        <v>406</v>
      </c>
      <c r="I89" s="3" t="s">
        <v>437</v>
      </c>
    </row>
    <row r="90" spans="7:9" x14ac:dyDescent="0.2">
      <c r="G90" s="3" t="s">
        <v>408</v>
      </c>
      <c r="I90" s="3" t="s">
        <v>439</v>
      </c>
    </row>
    <row r="91" spans="7:9" x14ac:dyDescent="0.2">
      <c r="G91" s="3" t="s">
        <v>410</v>
      </c>
      <c r="I91" s="3" t="s">
        <v>441</v>
      </c>
    </row>
    <row r="92" spans="7:9" x14ac:dyDescent="0.2">
      <c r="G92" s="3" t="s">
        <v>412</v>
      </c>
      <c r="I92" s="3" t="s">
        <v>443</v>
      </c>
    </row>
    <row r="93" spans="7:9" x14ac:dyDescent="0.2">
      <c r="G93" s="3" t="s">
        <v>414</v>
      </c>
      <c r="I93" s="3" t="s">
        <v>445</v>
      </c>
    </row>
    <row r="94" spans="7:9" x14ac:dyDescent="0.2">
      <c r="G94" s="3" t="s">
        <v>416</v>
      </c>
      <c r="I94" s="3" t="s">
        <v>447</v>
      </c>
    </row>
    <row r="95" spans="7:9" x14ac:dyDescent="0.2">
      <c r="G95" s="3" t="s">
        <v>418</v>
      </c>
      <c r="I95" s="3" t="s">
        <v>449</v>
      </c>
    </row>
    <row r="96" spans="7:9" x14ac:dyDescent="0.2">
      <c r="G96" s="3" t="s">
        <v>420</v>
      </c>
      <c r="I96" s="3" t="s">
        <v>451</v>
      </c>
    </row>
    <row r="97" spans="7:9" x14ac:dyDescent="0.2">
      <c r="G97" s="3" t="s">
        <v>422</v>
      </c>
      <c r="I97" s="3" t="s">
        <v>453</v>
      </c>
    </row>
    <row r="98" spans="7:9" x14ac:dyDescent="0.2">
      <c r="G98" s="3" t="s">
        <v>555</v>
      </c>
      <c r="I98" s="3" t="s">
        <v>455</v>
      </c>
    </row>
    <row r="99" spans="7:9" x14ac:dyDescent="0.2">
      <c r="G99" s="3" t="s">
        <v>548</v>
      </c>
    </row>
    <row r="100" spans="7:9" x14ac:dyDescent="0.2">
      <c r="G100" s="3" t="s">
        <v>574</v>
      </c>
    </row>
    <row r="101" spans="7:9" x14ac:dyDescent="0.2">
      <c r="G101" s="3" t="s">
        <v>424</v>
      </c>
    </row>
    <row r="102" spans="7:9" x14ac:dyDescent="0.2">
      <c r="G102" s="3" t="s">
        <v>426</v>
      </c>
    </row>
    <row r="103" spans="7:9" x14ac:dyDescent="0.2">
      <c r="G103" s="3" t="s">
        <v>428</v>
      </c>
    </row>
    <row r="104" spans="7:9" x14ac:dyDescent="0.2">
      <c r="G104" s="3" t="s">
        <v>430</v>
      </c>
    </row>
    <row r="105" spans="7:9" x14ac:dyDescent="0.2">
      <c r="G105" s="3" t="s">
        <v>432</v>
      </c>
    </row>
    <row r="106" spans="7:9" x14ac:dyDescent="0.2">
      <c r="G106" s="3" t="s">
        <v>434</v>
      </c>
    </row>
    <row r="107" spans="7:9" x14ac:dyDescent="0.2">
      <c r="G107" s="3" t="s">
        <v>436</v>
      </c>
    </row>
    <row r="108" spans="7:9" x14ac:dyDescent="0.2">
      <c r="G108" s="3" t="s">
        <v>552</v>
      </c>
    </row>
    <row r="109" spans="7:9" x14ac:dyDescent="0.2">
      <c r="G109" s="3" t="s">
        <v>438</v>
      </c>
    </row>
    <row r="110" spans="7:9" x14ac:dyDescent="0.2">
      <c r="G110" s="3" t="s">
        <v>440</v>
      </c>
    </row>
    <row r="111" spans="7:9" x14ac:dyDescent="0.2">
      <c r="G111" s="3" t="s">
        <v>442</v>
      </c>
    </row>
    <row r="112" spans="7:9" x14ac:dyDescent="0.2">
      <c r="G112" s="3" t="s">
        <v>444</v>
      </c>
    </row>
    <row r="113" spans="7:7" x14ac:dyDescent="0.2">
      <c r="G113" s="3" t="s">
        <v>446</v>
      </c>
    </row>
    <row r="114" spans="7:7" x14ac:dyDescent="0.2">
      <c r="G114" s="3" t="s">
        <v>448</v>
      </c>
    </row>
    <row r="115" spans="7:7" x14ac:dyDescent="0.2">
      <c r="G115" s="3" t="s">
        <v>450</v>
      </c>
    </row>
    <row r="116" spans="7:7" x14ac:dyDescent="0.2">
      <c r="G116" s="3" t="s">
        <v>547</v>
      </c>
    </row>
    <row r="117" spans="7:7" x14ac:dyDescent="0.2">
      <c r="G117" s="3" t="s">
        <v>452</v>
      </c>
    </row>
    <row r="118" spans="7:7" x14ac:dyDescent="0.2">
      <c r="G118" s="3" t="s">
        <v>454</v>
      </c>
    </row>
    <row r="119" spans="7:7" x14ac:dyDescent="0.2">
      <c r="G119" s="3" t="s">
        <v>456</v>
      </c>
    </row>
    <row r="120" spans="7:7" x14ac:dyDescent="0.2">
      <c r="G120" s="3" t="s">
        <v>457</v>
      </c>
    </row>
    <row r="121" spans="7:7" x14ac:dyDescent="0.2">
      <c r="G121" s="3" t="s">
        <v>458</v>
      </c>
    </row>
    <row r="122" spans="7:7" x14ac:dyDescent="0.2">
      <c r="G122" s="3" t="s">
        <v>459</v>
      </c>
    </row>
    <row r="123" spans="7:7" x14ac:dyDescent="0.2">
      <c r="G123" s="3" t="s">
        <v>460</v>
      </c>
    </row>
    <row r="124" spans="7:7" x14ac:dyDescent="0.2">
      <c r="G124" s="3" t="s">
        <v>559</v>
      </c>
    </row>
    <row r="125" spans="7:7" x14ac:dyDescent="0.2">
      <c r="G125" s="3" t="s">
        <v>461</v>
      </c>
    </row>
    <row r="126" spans="7:7" x14ac:dyDescent="0.2">
      <c r="G126" s="3" t="s">
        <v>462</v>
      </c>
    </row>
    <row r="127" spans="7:7" x14ac:dyDescent="0.2">
      <c r="G127" s="3" t="s">
        <v>463</v>
      </c>
    </row>
    <row r="128" spans="7:7" x14ac:dyDescent="0.2">
      <c r="G128" s="3" t="s">
        <v>464</v>
      </c>
    </row>
    <row r="129" spans="7:7" x14ac:dyDescent="0.2">
      <c r="G129" s="3" t="s">
        <v>465</v>
      </c>
    </row>
    <row r="130" spans="7:7" x14ac:dyDescent="0.2">
      <c r="G130" s="3" t="s">
        <v>466</v>
      </c>
    </row>
    <row r="131" spans="7:7" x14ac:dyDescent="0.2">
      <c r="G131" s="3" t="s">
        <v>467</v>
      </c>
    </row>
    <row r="132" spans="7:7" x14ac:dyDescent="0.2">
      <c r="G132" s="3" t="s">
        <v>468</v>
      </c>
    </row>
    <row r="133" spans="7:7" x14ac:dyDescent="0.2">
      <c r="G133" s="3" t="s">
        <v>469</v>
      </c>
    </row>
    <row r="134" spans="7:7" x14ac:dyDescent="0.2">
      <c r="G134" s="3" t="s">
        <v>470</v>
      </c>
    </row>
    <row r="135" spans="7:7" x14ac:dyDescent="0.2">
      <c r="G135" s="3" t="s">
        <v>471</v>
      </c>
    </row>
    <row r="136" spans="7:7" x14ac:dyDescent="0.2">
      <c r="G136" s="3" t="s">
        <v>578</v>
      </c>
    </row>
    <row r="137" spans="7:7" x14ac:dyDescent="0.2">
      <c r="G137" s="3" t="s">
        <v>472</v>
      </c>
    </row>
    <row r="138" spans="7:7" x14ac:dyDescent="0.2">
      <c r="G138" s="3" t="s">
        <v>473</v>
      </c>
    </row>
    <row r="139" spans="7:7" x14ac:dyDescent="0.2">
      <c r="G139" s="3" t="s">
        <v>474</v>
      </c>
    </row>
    <row r="140" spans="7:7" x14ac:dyDescent="0.2">
      <c r="G140" s="3" t="s">
        <v>475</v>
      </c>
    </row>
    <row r="141" spans="7:7" x14ac:dyDescent="0.2">
      <c r="G141" s="3" t="s">
        <v>544</v>
      </c>
    </row>
    <row r="142" spans="7:7" x14ac:dyDescent="0.2">
      <c r="G142" s="3" t="s">
        <v>476</v>
      </c>
    </row>
    <row r="143" spans="7:7" x14ac:dyDescent="0.2">
      <c r="G143" s="3" t="s">
        <v>563</v>
      </c>
    </row>
    <row r="144" spans="7:7" x14ac:dyDescent="0.2">
      <c r="G144" s="3" t="s">
        <v>477</v>
      </c>
    </row>
    <row r="145" spans="7:7" x14ac:dyDescent="0.2">
      <c r="G145" s="3" t="s">
        <v>478</v>
      </c>
    </row>
    <row r="146" spans="7:7" x14ac:dyDescent="0.2">
      <c r="G146" s="3" t="s">
        <v>479</v>
      </c>
    </row>
    <row r="147" spans="7:7" x14ac:dyDescent="0.2">
      <c r="G147" s="3" t="s">
        <v>480</v>
      </c>
    </row>
    <row r="148" spans="7:7" x14ac:dyDescent="0.2">
      <c r="G148" s="3" t="s">
        <v>481</v>
      </c>
    </row>
    <row r="149" spans="7:7" x14ac:dyDescent="0.2">
      <c r="G149" s="3" t="s">
        <v>540</v>
      </c>
    </row>
    <row r="150" spans="7:7" x14ac:dyDescent="0.2">
      <c r="G150" s="3" t="s">
        <v>545</v>
      </c>
    </row>
    <row r="151" spans="7:7" x14ac:dyDescent="0.2">
      <c r="G151" s="3" t="s">
        <v>482</v>
      </c>
    </row>
    <row r="152" spans="7:7" x14ac:dyDescent="0.2">
      <c r="G152" s="3" t="s">
        <v>483</v>
      </c>
    </row>
    <row r="153" spans="7:7" x14ac:dyDescent="0.2">
      <c r="G153" s="3" t="s">
        <v>484</v>
      </c>
    </row>
    <row r="154" spans="7:7" x14ac:dyDescent="0.2">
      <c r="G154" s="3" t="s">
        <v>550</v>
      </c>
    </row>
    <row r="155" spans="7:7" x14ac:dyDescent="0.2">
      <c r="G155" s="3" t="s">
        <v>485</v>
      </c>
    </row>
    <row r="156" spans="7:7" x14ac:dyDescent="0.2">
      <c r="G156" s="3" t="s">
        <v>486</v>
      </c>
    </row>
    <row r="157" spans="7:7" x14ac:dyDescent="0.2">
      <c r="G157" s="3" t="s">
        <v>487</v>
      </c>
    </row>
    <row r="158" spans="7:7" x14ac:dyDescent="0.2">
      <c r="G158" s="3" t="s">
        <v>488</v>
      </c>
    </row>
    <row r="159" spans="7:7" x14ac:dyDescent="0.2">
      <c r="G159" s="3" t="s">
        <v>489</v>
      </c>
    </row>
    <row r="160" spans="7:7" x14ac:dyDescent="0.2">
      <c r="G160" s="3" t="s">
        <v>490</v>
      </c>
    </row>
    <row r="161" spans="7:7" x14ac:dyDescent="0.2">
      <c r="G161" s="3" t="s">
        <v>491</v>
      </c>
    </row>
    <row r="162" spans="7:7" x14ac:dyDescent="0.2">
      <c r="G162" s="3" t="s">
        <v>492</v>
      </c>
    </row>
    <row r="163" spans="7:7" x14ac:dyDescent="0.2">
      <c r="G163" s="3" t="s">
        <v>579</v>
      </c>
    </row>
    <row r="164" spans="7:7" x14ac:dyDescent="0.2">
      <c r="G164" s="3" t="s">
        <v>564</v>
      </c>
    </row>
    <row r="165" spans="7:7" x14ac:dyDescent="0.2">
      <c r="G165" s="3" t="s">
        <v>493</v>
      </c>
    </row>
    <row r="166" spans="7:7" x14ac:dyDescent="0.2">
      <c r="G166" s="3" t="s">
        <v>494</v>
      </c>
    </row>
    <row r="167" spans="7:7" x14ac:dyDescent="0.2">
      <c r="G167" s="3" t="s">
        <v>569</v>
      </c>
    </row>
    <row r="168" spans="7:7" x14ac:dyDescent="0.2">
      <c r="G168" s="3" t="s">
        <v>495</v>
      </c>
    </row>
    <row r="169" spans="7:7" x14ac:dyDescent="0.2">
      <c r="G169" s="3" t="s">
        <v>496</v>
      </c>
    </row>
    <row r="170" spans="7:7" x14ac:dyDescent="0.2">
      <c r="G170" s="3" t="s">
        <v>543</v>
      </c>
    </row>
    <row r="171" spans="7:7" x14ac:dyDescent="0.2">
      <c r="G171" s="3" t="s">
        <v>575</v>
      </c>
    </row>
    <row r="172" spans="7:7" x14ac:dyDescent="0.2">
      <c r="G172" s="3" t="s">
        <v>497</v>
      </c>
    </row>
    <row r="173" spans="7:7" x14ac:dyDescent="0.2">
      <c r="G173" s="3" t="s">
        <v>498</v>
      </c>
    </row>
    <row r="174" spans="7:7" x14ac:dyDescent="0.2">
      <c r="G174" s="3" t="s">
        <v>551</v>
      </c>
    </row>
    <row r="175" spans="7:7" x14ac:dyDescent="0.2">
      <c r="G175" s="3" t="s">
        <v>499</v>
      </c>
    </row>
    <row r="176" spans="7:7" x14ac:dyDescent="0.2">
      <c r="G176" s="3" t="s">
        <v>576</v>
      </c>
    </row>
    <row r="177" spans="7:7" x14ac:dyDescent="0.2">
      <c r="G177" s="3" t="s">
        <v>500</v>
      </c>
    </row>
    <row r="178" spans="7:7" x14ac:dyDescent="0.2">
      <c r="G178" s="3" t="s">
        <v>566</v>
      </c>
    </row>
    <row r="179" spans="7:7" x14ac:dyDescent="0.2">
      <c r="G179" s="3" t="s">
        <v>561</v>
      </c>
    </row>
    <row r="180" spans="7:7" x14ac:dyDescent="0.2">
      <c r="G180" s="3" t="s">
        <v>553</v>
      </c>
    </row>
    <row r="181" spans="7:7" x14ac:dyDescent="0.2">
      <c r="G181" s="3" t="s">
        <v>501</v>
      </c>
    </row>
    <row r="182" spans="7:7" x14ac:dyDescent="0.2">
      <c r="G182" s="3" t="s">
        <v>502</v>
      </c>
    </row>
    <row r="183" spans="7:7" x14ac:dyDescent="0.2">
      <c r="G183" s="3" t="s">
        <v>503</v>
      </c>
    </row>
    <row r="184" spans="7:7" x14ac:dyDescent="0.2">
      <c r="G184" s="3" t="s">
        <v>504</v>
      </c>
    </row>
    <row r="185" spans="7:7" x14ac:dyDescent="0.2">
      <c r="G185" s="3" t="s">
        <v>505</v>
      </c>
    </row>
    <row r="186" spans="7:7" x14ac:dyDescent="0.2">
      <c r="G186" s="3" t="s">
        <v>506</v>
      </c>
    </row>
    <row r="187" spans="7:7" x14ac:dyDescent="0.2">
      <c r="G187" s="3" t="s">
        <v>507</v>
      </c>
    </row>
    <row r="188" spans="7:7" x14ac:dyDescent="0.2">
      <c r="G188" s="3" t="s">
        <v>508</v>
      </c>
    </row>
    <row r="189" spans="7:7" x14ac:dyDescent="0.2">
      <c r="G189" s="3" t="s">
        <v>509</v>
      </c>
    </row>
    <row r="190" spans="7:7" x14ac:dyDescent="0.2">
      <c r="G190" s="3" t="s">
        <v>510</v>
      </c>
    </row>
    <row r="191" spans="7:7" x14ac:dyDescent="0.2">
      <c r="G191" s="3" t="s">
        <v>511</v>
      </c>
    </row>
    <row r="192" spans="7:7" x14ac:dyDescent="0.2">
      <c r="G192" s="3" t="s">
        <v>512</v>
      </c>
    </row>
    <row r="193" spans="7:7" x14ac:dyDescent="0.2">
      <c r="G193" s="3" t="s">
        <v>577</v>
      </c>
    </row>
    <row r="194" spans="7:7" x14ac:dyDescent="0.2">
      <c r="G194" s="3" t="s">
        <v>571</v>
      </c>
    </row>
    <row r="195" spans="7:7" x14ac:dyDescent="0.2">
      <c r="G195" s="3" t="s">
        <v>513</v>
      </c>
    </row>
    <row r="196" spans="7:7" x14ac:dyDescent="0.2">
      <c r="G196" s="3" t="s">
        <v>514</v>
      </c>
    </row>
    <row r="197" spans="7:7" x14ac:dyDescent="0.2">
      <c r="G197" s="3" t="s">
        <v>515</v>
      </c>
    </row>
    <row r="198" spans="7:7" x14ac:dyDescent="0.2">
      <c r="G198" s="3" t="s">
        <v>516</v>
      </c>
    </row>
    <row r="199" spans="7:7" x14ac:dyDescent="0.2">
      <c r="G199" s="3" t="s">
        <v>568</v>
      </c>
    </row>
    <row r="200" spans="7:7" x14ac:dyDescent="0.2">
      <c r="G200" s="3" t="s">
        <v>517</v>
      </c>
    </row>
    <row r="201" spans="7:7" x14ac:dyDescent="0.2">
      <c r="G201" s="3" t="s">
        <v>518</v>
      </c>
    </row>
    <row r="202" spans="7:7" x14ac:dyDescent="0.2">
      <c r="G202" s="3" t="s">
        <v>519</v>
      </c>
    </row>
    <row r="203" spans="7:7" x14ac:dyDescent="0.2">
      <c r="G203" s="3" t="s">
        <v>520</v>
      </c>
    </row>
    <row r="204" spans="7:7" x14ac:dyDescent="0.2">
      <c r="G204" s="3" t="s">
        <v>521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2026-10-09T12:48:06Z</dcterms:modified>
  <cp:category/>
  <cp:contentStatus/>
</cp:coreProperties>
</file>