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2006CC21-42D9-304E-B625-B28CF9B5270D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0" i="3" l="1" a="1"/>
  <c r="G70" i="3" s="1"/>
  <c r="G69" i="3" a="1"/>
  <c r="G69" i="3" s="1"/>
  <c r="G68" i="3"/>
  <c r="G66" i="3"/>
  <c r="G65" i="3"/>
  <c r="D66" i="3"/>
  <c r="C66" i="3"/>
  <c r="B66" i="3"/>
  <c r="V33" i="1"/>
  <c r="K73" i="7"/>
  <c r="L73" i="7" s="1"/>
  <c r="D73" i="7"/>
  <c r="M73" i="7" s="1"/>
  <c r="D72" i="7"/>
  <c r="V36" i="1"/>
  <c r="C34" i="1"/>
  <c r="D34" i="1" s="1"/>
  <c r="C33" i="1"/>
  <c r="D33" i="1" s="1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<sst xmlns="http://schemas.openxmlformats.org/spreadsheetml/2006/main" count="304" uniqueCount="140">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</sst>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10" zoomScaleNormal="110" workbookViewId="0">
      <pane ySplit="1" topLeftCell="A5" activePane="bottomLeft" state="frozen"/>
      <selection activeCell="D1" sqref="D1"/>
      <selection pane="bottomLeft" activeCell="C32" sqref="C32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f ca="1">TODAY()</f>
        <v>46274</v>
      </c>
      <c r="D33" s="31">
        <f t="shared" ca="1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9.11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f>(O33-M33)*L33</f>
        <v>1573.7999999999947</v>
      </c>
    </row>
    <row r="34" spans="1:22" x14ac:dyDescent="0.25">
      <c r="A34" s="29">
        <v>29</v>
      </c>
      <c r="B34" s="30">
        <v>46274</v>
      </c>
      <c r="C34" s="30">
        <f ca="1">TODAY()</f>
        <v>46274</v>
      </c>
      <c r="D34" s="31">
        <f t="shared" ca="1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2387.7999999999947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70363.26999999999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0.21130111111111108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6" si="0">B4-B3</f>
        <v>6713.6600000000326</v>
      </c>
      <c r="D4" s="19">
        <f t="shared" ref="D4:D66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AVERAGE(C3:C66)</f>
        <v>1202.2357812499995</v>
      </c>
    </row>
    <row r="66" spans="1:7" x14ac:dyDescent="0.2">
      <c r="A66" s="22">
        <v>46274</v>
      </c>
      <c r="B66" s="1">
        <f>B65+2388</f>
        <v>410399</v>
      </c>
      <c r="C66" s="1">
        <f t="shared" si="0"/>
        <v>2388</v>
      </c>
      <c r="D66" s="19">
        <f t="shared" si="1"/>
        <v>5.8527833808402225E-3</v>
      </c>
      <c r="F66" s="21" t="s">
        <v>115</v>
      </c>
      <c r="G66" s="23">
        <f>_xlfn.STDEV.S(C3:C66)</f>
        <v>4395.1817310127199</v>
      </c>
    </row>
    <row r="67" spans="1:7" x14ac:dyDescent="0.2">
      <c r="F67" s="21" t="s">
        <v>116</v>
      </c>
      <c r="G67" s="24">
        <f>(G65/G66)*SQRT(252)</f>
        <v>4.3422325934878296</v>
      </c>
    </row>
    <row r="68" spans="1:7" x14ac:dyDescent="0.2">
      <c r="F68" s="21" t="s">
        <v>117</v>
      </c>
      <c r="G68" s="25">
        <f>_xlfn.STDEV.S(D2:D66)*SQRT(252)</f>
        <v>0.19124094964609878</v>
      </c>
    </row>
    <row r="69" spans="1:7" x14ac:dyDescent="0.2">
      <c r="F69" s="21" t="s">
        <v>118</v>
      </c>
      <c r="G69" s="25" cm="1">
        <f t="array" ref="G69">PRODUCT(1+D2:D66)-1</f>
        <v>0.23074460831108357</v>
      </c>
    </row>
    <row r="70" spans="1:7" x14ac:dyDescent="0.2">
      <c r="F70" s="21" t="s">
        <v>119</v>
      </c>
      <c r="G70" s="25" cm="1">
        <f t="array" ref="G70">PRODUCT(1+D2:D66)^(252/COUNT(D2:D66))-1</f>
        <v>1.2365271503279844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A74" sqref="A74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46274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2026-09-10T00:02:37Z</dcterms:modified>
  <cp:category/>
  <cp:contentStatus/>
</cp:coreProperties>
</file>