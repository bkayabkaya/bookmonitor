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CBFDE89A-7753-9349-B9CA-14A1915417C4}" xr6:coauthVersionLast="47" xr6:coauthVersionMax="47" xr10:uidLastSave="{00000000-0000-0000-0000-000000000000}"/>
  <bookViews>
    <workbookView xWindow="8800" yWindow="-37220" windowWidth="50360" windowHeight="2972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82" i="7" l="1"/>
  <c r="S82" i="7"/>
  <c r="N82" i="7"/>
  <c r="M82" i="7"/>
  <c r="L82" i="7"/>
  <c r="D82" i="7"/>
  <c r="G70" i="3" a="1"/>
  <c r="G70" i="3" s="1"/>
  <c r="G69" i="3" a="1"/>
  <c r="G69" i="3" s="1"/>
  <c r="G68" i="3"/>
  <c r="G66" i="3"/>
  <c r="G65" i="3"/>
  <c r="D75" i="3"/>
  <c r="C75" i="3"/>
  <c r="B75" i="3"/>
  <c r="S45" i="1"/>
  <c r="B74" i="3"/>
  <c r="C74" i="3" s="1"/>
  <c r="U81" i="7"/>
  <c r="S81" i="7"/>
  <c r="N81" i="7"/>
  <c r="M81" i="7"/>
  <c r="L81" i="7"/>
  <c r="E47" i="1"/>
  <c r="E48" i="1"/>
  <c r="V47" i="1"/>
  <c r="U47" i="1"/>
  <c r="D45" i="1"/>
  <c r="D44" i="1"/>
  <c r="D43" i="1"/>
  <c r="D42" i="1"/>
  <c r="D41" i="1"/>
  <c r="U80" i="7"/>
  <c r="S80" i="7"/>
  <c r="N80" i="7"/>
  <c r="M80" i="7"/>
  <c r="L80" i="7"/>
  <c r="D80" i="7"/>
  <c r="B73" i="3"/>
  <c r="C73" i="3" s="1"/>
  <c r="S36" i="1"/>
  <c r="D40" i="1"/>
  <c r="D74" i="3" l="1"/>
  <c r="D73" i="3"/>
  <c r="S32" i="1"/>
  <c r="B72" i="3"/>
  <c r="D79" i="7"/>
  <c r="C72" i="3"/>
  <c r="D72" i="3" s="1"/>
  <c r="B71" i="3"/>
  <c r="U78" i="7"/>
  <c r="C71" i="3"/>
  <c r="S78" i="7"/>
  <c r="N78" i="7"/>
  <c r="M78" i="7"/>
  <c r="L78" i="7"/>
  <c r="D78" i="7"/>
  <c r="B78" i="7"/>
  <c r="D39" i="1"/>
  <c r="T77" i="7"/>
  <c r="S77" i="7"/>
  <c r="N77" i="7"/>
  <c r="M77" i="7"/>
  <c r="L77" i="7"/>
  <c r="D77" i="7"/>
  <c r="D70" i="3"/>
  <c r="C70" i="3"/>
  <c r="B70" i="3"/>
  <c r="L79" i="7" l="1"/>
  <c r="D71" i="3"/>
  <c r="T76" i="7"/>
  <c r="S76" i="7"/>
  <c r="N76" i="7"/>
  <c r="M76" i="7"/>
  <c r="L76" i="7"/>
  <c r="D76" i="7"/>
  <c r="S35" i="1"/>
  <c r="U79" i="7" l="1"/>
  <c r="S79" i="7"/>
  <c r="M79" i="7"/>
  <c r="N79" i="7"/>
  <c r="D75" i="7"/>
  <c r="N75" i="7" s="1"/>
  <c r="L75" i="7"/>
  <c r="T75" i="7" s="1"/>
  <c r="C75" i="7"/>
  <c r="S38" i="1"/>
  <c r="S37" i="1"/>
  <c r="S34" i="1"/>
  <c r="S33" i="1"/>
  <c r="T74" i="7"/>
  <c r="S74" i="7"/>
  <c r="L74" i="7"/>
  <c r="N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7" i="3" l="1"/>
  <c r="S75" i="7"/>
  <c r="M75" i="7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S30" i="1"/>
  <c r="S29" i="1"/>
  <c r="S19" i="1"/>
  <c r="S31" i="1"/>
  <c r="C67" i="3" l="1"/>
  <c r="D67" i="3" s="1"/>
  <c r="B68" i="3"/>
  <c r="N71" i="7"/>
  <c r="N73" i="7"/>
  <c r="N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50" i="1"/>
  <c r="U56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<sst xmlns="http://schemas.openxmlformats.org/spreadsheetml/2006/main" count="852" uniqueCount="604">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</sst>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6"/>
  <sheetViews>
    <sheetView tabSelected="1" zoomScale="110" zoomScaleNormal="110" workbookViewId="0">
      <pane ySplit="1" topLeftCell="A9" activePane="bottomLeft" state="frozen"/>
      <selection activeCell="D1" sqref="D1"/>
      <selection pane="bottomLeft" activeCell="F49" sqref="F49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3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45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3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3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38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55">
        <v>46287</v>
      </c>
      <c r="D39" s="35">
        <f t="shared" si="5"/>
        <v>6</v>
      </c>
      <c r="E39" s="47" t="s">
        <v>591</v>
      </c>
      <c r="F39" s="48" t="s">
        <v>592</v>
      </c>
      <c r="G39" s="47" t="s">
        <v>23</v>
      </c>
      <c r="H39" s="48" t="s">
        <v>24</v>
      </c>
      <c r="I39" s="47" t="s">
        <v>48</v>
      </c>
      <c r="J39" s="47" t="s">
        <v>48</v>
      </c>
      <c r="K39" s="47" t="s">
        <v>591</v>
      </c>
      <c r="L39" s="47">
        <v>1000</v>
      </c>
      <c r="M39" s="47">
        <v>44.8</v>
      </c>
      <c r="N39" s="47" t="s">
        <v>72</v>
      </c>
      <c r="O39" s="47">
        <v>46.47</v>
      </c>
      <c r="P39" s="49">
        <v>44000</v>
      </c>
      <c r="Q39" s="47">
        <v>5.3</v>
      </c>
      <c r="R39" s="47" t="s">
        <v>72</v>
      </c>
      <c r="S39" s="50" t="s">
        <v>72</v>
      </c>
      <c r="T39" s="47" t="s">
        <v>72</v>
      </c>
      <c r="U39" s="49" t="s">
        <v>72</v>
      </c>
      <c r="V39" s="33">
        <v>1695</v>
      </c>
    </row>
    <row r="40" spans="1:22" x14ac:dyDescent="0.25">
      <c r="A40" s="33">
        <v>35</v>
      </c>
      <c r="B40" s="34">
        <v>46283</v>
      </c>
      <c r="C40" s="55">
        <v>46287</v>
      </c>
      <c r="D40" s="35">
        <f t="shared" si="5"/>
        <v>4</v>
      </c>
      <c r="E40" s="47" t="s">
        <v>593</v>
      </c>
      <c r="F40" s="48" t="s">
        <v>594</v>
      </c>
      <c r="G40" s="47" t="s">
        <v>23</v>
      </c>
      <c r="H40" s="48" t="s">
        <v>24</v>
      </c>
      <c r="I40" s="47" t="s">
        <v>25</v>
      </c>
      <c r="J40" s="47" t="s">
        <v>25</v>
      </c>
      <c r="K40" s="47" t="s">
        <v>593</v>
      </c>
      <c r="L40" s="47">
        <v>1000</v>
      </c>
      <c r="M40" s="47">
        <v>35.6</v>
      </c>
      <c r="N40" s="47" t="s">
        <v>72</v>
      </c>
      <c r="O40" s="47">
        <v>35.479999999999997</v>
      </c>
      <c r="P40" s="49">
        <v>35270</v>
      </c>
      <c r="Q40" s="47">
        <v>3.11</v>
      </c>
      <c r="R40" s="47" t="s">
        <v>72</v>
      </c>
      <c r="S40" s="50" t="s">
        <v>72</v>
      </c>
      <c r="T40" s="47" t="s">
        <v>72</v>
      </c>
      <c r="U40" s="49" t="s">
        <v>72</v>
      </c>
      <c r="V40" s="33">
        <v>-35</v>
      </c>
    </row>
    <row r="41" spans="1:22" x14ac:dyDescent="0.25">
      <c r="A41" s="33">
        <v>36</v>
      </c>
      <c r="B41" s="34">
        <v>46286</v>
      </c>
      <c r="C41" s="55">
        <v>46287</v>
      </c>
      <c r="D41" s="35">
        <f t="shared" si="5"/>
        <v>1</v>
      </c>
      <c r="E41" s="47" t="s">
        <v>595</v>
      </c>
      <c r="F41" s="48" t="s">
        <v>596</v>
      </c>
      <c r="G41" s="47" t="s">
        <v>23</v>
      </c>
      <c r="H41" s="48" t="s">
        <v>24</v>
      </c>
      <c r="I41" s="47" t="s">
        <v>25</v>
      </c>
      <c r="J41" s="47" t="s">
        <v>25</v>
      </c>
      <c r="K41" s="47" t="s">
        <v>595</v>
      </c>
      <c r="L41" s="47">
        <v>500</v>
      </c>
      <c r="M41" s="47">
        <v>79.78</v>
      </c>
      <c r="N41" s="47" t="s">
        <v>72</v>
      </c>
      <c r="O41" s="47">
        <v>79.86</v>
      </c>
      <c r="P41" s="49">
        <v>55902</v>
      </c>
      <c r="Q41" s="47">
        <v>2.5499999999999998</v>
      </c>
      <c r="R41" s="47" t="s">
        <v>72</v>
      </c>
      <c r="S41" s="50" t="s">
        <v>72</v>
      </c>
      <c r="T41" s="47" t="s">
        <v>72</v>
      </c>
      <c r="U41" s="49" t="s">
        <v>72</v>
      </c>
      <c r="V41" s="33">
        <v>66</v>
      </c>
    </row>
    <row r="42" spans="1:22" x14ac:dyDescent="0.25">
      <c r="A42" s="33">
        <v>37</v>
      </c>
      <c r="B42" s="34">
        <v>46286</v>
      </c>
      <c r="C42" s="55">
        <v>46287</v>
      </c>
      <c r="D42" s="35">
        <f t="shared" si="5"/>
        <v>1</v>
      </c>
      <c r="E42" s="47" t="s">
        <v>597</v>
      </c>
      <c r="F42" s="48" t="s">
        <v>598</v>
      </c>
      <c r="G42" s="47" t="s">
        <v>23</v>
      </c>
      <c r="H42" s="48" t="s">
        <v>24</v>
      </c>
      <c r="I42" s="47" t="s">
        <v>25</v>
      </c>
      <c r="J42" s="47" t="s">
        <v>25</v>
      </c>
      <c r="K42" s="47" t="s">
        <v>597</v>
      </c>
      <c r="L42" s="47">
        <v>300</v>
      </c>
      <c r="M42" s="47">
        <v>298.27</v>
      </c>
      <c r="N42" s="47" t="s">
        <v>72</v>
      </c>
      <c r="O42" s="47">
        <v>305.25</v>
      </c>
      <c r="P42" s="49">
        <v>45792</v>
      </c>
      <c r="Q42" s="47">
        <v>3.67</v>
      </c>
      <c r="R42" s="47" t="s">
        <v>72</v>
      </c>
      <c r="S42" s="50" t="s">
        <v>72</v>
      </c>
      <c r="T42" s="47" t="s">
        <v>72</v>
      </c>
      <c r="U42" s="49" t="s">
        <v>72</v>
      </c>
      <c r="V42" s="33">
        <v>1551</v>
      </c>
    </row>
    <row r="43" spans="1:22" x14ac:dyDescent="0.25">
      <c r="A43" s="33">
        <v>38</v>
      </c>
      <c r="B43" s="34">
        <v>46286</v>
      </c>
      <c r="C43" s="55">
        <v>46287</v>
      </c>
      <c r="D43" s="35">
        <f t="shared" si="5"/>
        <v>1</v>
      </c>
      <c r="E43" s="47" t="s">
        <v>599</v>
      </c>
      <c r="F43" s="48" t="s">
        <v>600</v>
      </c>
      <c r="G43" s="47" t="s">
        <v>23</v>
      </c>
      <c r="H43" s="48" t="s">
        <v>24</v>
      </c>
      <c r="I43" s="47" t="s">
        <v>25</v>
      </c>
      <c r="J43" s="47" t="s">
        <v>25</v>
      </c>
      <c r="K43" s="47" t="s">
        <v>599</v>
      </c>
      <c r="L43" s="47">
        <v>-100</v>
      </c>
      <c r="M43" s="47">
        <v>159.58000000000001</v>
      </c>
      <c r="N43" s="47" t="s">
        <v>72</v>
      </c>
      <c r="O43" s="47">
        <v>155.94</v>
      </c>
      <c r="P43" s="49">
        <v>15961</v>
      </c>
      <c r="Q43" s="47">
        <v>1.0900000000000001</v>
      </c>
      <c r="R43" s="47" t="s">
        <v>72</v>
      </c>
      <c r="S43" s="50" t="s">
        <v>72</v>
      </c>
      <c r="T43" s="47" t="s">
        <v>72</v>
      </c>
      <c r="U43" s="49" t="s">
        <v>72</v>
      </c>
      <c r="V43" s="33">
        <v>359</v>
      </c>
    </row>
    <row r="44" spans="1:22" x14ac:dyDescent="0.25">
      <c r="A44" s="33">
        <v>39</v>
      </c>
      <c r="B44" s="34">
        <v>46286</v>
      </c>
      <c r="C44" s="55">
        <v>46287</v>
      </c>
      <c r="D44" s="35">
        <f t="shared" si="5"/>
        <v>1</v>
      </c>
      <c r="E44" s="47" t="s">
        <v>601</v>
      </c>
      <c r="F44" s="48" t="s">
        <v>602</v>
      </c>
      <c r="G44" s="47" t="s">
        <v>23</v>
      </c>
      <c r="H44" s="48" t="s">
        <v>24</v>
      </c>
      <c r="I44" s="47" t="s">
        <v>25</v>
      </c>
      <c r="J44" s="47" t="s">
        <v>25</v>
      </c>
      <c r="K44" s="47" t="s">
        <v>601</v>
      </c>
      <c r="L44" s="47">
        <v>400</v>
      </c>
      <c r="M44" s="47">
        <v>310.77999999999997</v>
      </c>
      <c r="N44" s="47" t="s">
        <v>72</v>
      </c>
      <c r="O44" s="47">
        <v>314.01</v>
      </c>
      <c r="P44" s="49">
        <v>102050</v>
      </c>
      <c r="Q44" s="47">
        <v>5.32</v>
      </c>
      <c r="R44" s="47" t="s">
        <v>72</v>
      </c>
      <c r="S44" s="50" t="s">
        <v>72</v>
      </c>
      <c r="T44" s="47" t="s">
        <v>72</v>
      </c>
      <c r="U44" s="49" t="s">
        <v>72</v>
      </c>
      <c r="V44" s="33">
        <v>1595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" si="7">IF(R45=1, ABS(N45-M45)/M45, 0)</f>
        <v>6.6957880304817775E-4</v>
      </c>
      <c r="T45" s="33">
        <v>108</v>
      </c>
      <c r="U45" s="41">
        <v>108</v>
      </c>
    </row>
    <row r="46" spans="1:22" x14ac:dyDescent="0.25">
      <c r="F46" s="36"/>
      <c r="H46" s="36"/>
    </row>
    <row r="47" spans="1:22" x14ac:dyDescent="0.25">
      <c r="D47" s="52" t="s">
        <v>103</v>
      </c>
      <c r="E47" s="46">
        <f>AVERAGE(D2:D38)</f>
        <v>7.8648648648648649</v>
      </c>
      <c r="F47" s="36"/>
      <c r="H47" s="36"/>
      <c r="U47" s="39">
        <f>SUM(U2:U45)</f>
        <v>75853.47</v>
      </c>
      <c r="V47" s="39">
        <f>SUM(V2:V45)</f>
        <v>5231</v>
      </c>
    </row>
    <row r="48" spans="1:22" x14ac:dyDescent="0.25">
      <c r="D48" s="52" t="s">
        <v>104</v>
      </c>
      <c r="E48" s="46">
        <f>AVERAGE(D2:D11,D13,D15:D38)</f>
        <v>5</v>
      </c>
      <c r="F48" s="36"/>
      <c r="U48" s="53" t="s">
        <v>105</v>
      </c>
      <c r="V48" s="36" t="s">
        <v>106</v>
      </c>
    </row>
    <row r="49" spans="6:21" x14ac:dyDescent="0.25">
      <c r="F49" s="36"/>
      <c r="U49" s="33" t="s">
        <v>107</v>
      </c>
    </row>
    <row r="50" spans="6:21" x14ac:dyDescent="0.25">
      <c r="F50" s="36"/>
      <c r="U50" s="39">
        <f>U47+V47</f>
        <v>81084.47</v>
      </c>
    </row>
    <row r="51" spans="6:21" x14ac:dyDescent="0.25">
      <c r="F51" s="36"/>
    </row>
    <row r="52" spans="6:21" x14ac:dyDescent="0.25">
      <c r="F52" s="36"/>
      <c r="U52" s="36" t="s">
        <v>108</v>
      </c>
    </row>
    <row r="53" spans="6:21" x14ac:dyDescent="0.25">
      <c r="F53" s="36"/>
      <c r="U53" s="39">
        <v>333000</v>
      </c>
    </row>
    <row r="55" spans="6:21" x14ac:dyDescent="0.25">
      <c r="U55" s="33" t="s">
        <v>109</v>
      </c>
    </row>
    <row r="56" spans="6:21" x14ac:dyDescent="0.25">
      <c r="U56" s="54">
        <f>U50/U53</f>
        <v>0.24349690690690692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5"/>
  <sheetViews>
    <sheetView topLeftCell="A47" zoomScale="200" zoomScaleNormal="200" workbookViewId="0">
      <selection activeCell="G71" sqref="G71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75" si="0">B4-B3</f>
        <v>6713.6600000000326</v>
      </c>
      <c r="D4" s="23">
        <f t="shared" ref="D4:D75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  <c r="F65" s="25" t="s">
        <v>114</v>
      </c>
      <c r="G65" s="27">
        <f>AVERAGE(C3:C75)</f>
        <v>1176.6587671232871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  <c r="F66" s="25" t="s">
        <v>115</v>
      </c>
      <c r="G66" s="27">
        <f>_xlfn.STDEV.S(C3:C75)</f>
        <v>4261.9974709006747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  <c r="F67" s="25" t="s">
        <v>116</v>
      </c>
      <c r="G67" s="28">
        <f>(G65/G66)*SQRT(252)</f>
        <v>4.382658362020365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  <c r="F68" s="25" t="s">
        <v>117</v>
      </c>
      <c r="G68" s="29">
        <f>_xlfn.STDEV.S(D2:D75)*SQRT(252)</f>
        <v>0.18422027876165134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  <c r="F69" s="25" t="s">
        <v>118</v>
      </c>
      <c r="G69" s="29" cm="1">
        <f t="array" ref="G69">PRODUCT(1+D2:D75)-1</f>
        <v>0.25759373922565487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  <c r="F70" s="25" t="s">
        <v>119</v>
      </c>
      <c r="G70" s="29" cm="1">
        <f t="array" ref="G70">PRODUCT(1+D2:D75)^(252/COUNT(D2:D75))-1</f>
        <v>1.1826057878918159</v>
      </c>
    </row>
    <row r="71" spans="1:7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7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7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7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</row>
    <row r="75" spans="1:7" x14ac:dyDescent="0.2">
      <c r="A75" s="26">
        <v>46287</v>
      </c>
      <c r="B75" s="5">
        <f>B74+4900</f>
        <v>419352</v>
      </c>
      <c r="C75" s="5">
        <f t="shared" si="0"/>
        <v>4900</v>
      </c>
      <c r="D75" s="23">
        <f t="shared" si="1"/>
        <v>1.1822840763224691E-2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46" activePane="bottomLeft" state="frozen"/>
      <selection pane="bottomLeft" activeCell="M84" sqref="M84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9.33203125" style="13" customWidth="1"/>
    <col min="11" max="11" width="9.33203125" style="18" bestFit="1" customWidth="1"/>
    <col min="12" max="12" width="15.83203125" style="21" bestFit="1" customWidth="1"/>
    <col min="13" max="13" width="18" style="17" bestFit="1" customWidth="1"/>
    <col min="14" max="14" width="16.33203125" style="17" bestFit="1" customWidth="1"/>
    <col min="15" max="15" width="18.33203125" style="16" bestFit="1" customWidth="1"/>
    <col min="16" max="16" width="20.5" style="16" bestFit="1" customWidth="1"/>
    <col min="17" max="17" width="16.6640625" style="16" bestFit="1" customWidth="1"/>
    <col min="18" max="18" width="20.33203125" style="16" bestFit="1" customWidth="1"/>
    <col min="19" max="19" width="17.1640625" style="16" bestFit="1" customWidth="1"/>
    <col min="20" max="20" width="17.1640625" style="16" customWidth="1"/>
    <col min="21" max="21" width="14.83203125" style="17" bestFit="1" customWidth="1"/>
    <col min="22" max="16384" width="9.1640625" style="18"/>
  </cols>
  <sheetData>
    <row r="1" spans="1:21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48</v>
      </c>
      <c r="L1" s="9" t="s">
        <v>526</v>
      </c>
      <c r="M1" s="8" t="s">
        <v>527</v>
      </c>
      <c r="N1" s="8" t="s">
        <v>528</v>
      </c>
      <c r="O1" s="8" t="s">
        <v>536</v>
      </c>
      <c r="P1" s="8" t="s">
        <v>537</v>
      </c>
      <c r="Q1" s="8" t="s">
        <v>538</v>
      </c>
      <c r="R1" s="8" t="s">
        <v>539</v>
      </c>
      <c r="S1" s="8" t="s">
        <v>540</v>
      </c>
      <c r="T1" s="8" t="s">
        <v>590</v>
      </c>
      <c r="U1" s="8" t="s">
        <v>529</v>
      </c>
    </row>
    <row r="2" spans="1:21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4">
        <v>300000</v>
      </c>
      <c r="M2" s="15">
        <v>0.35237333333333332</v>
      </c>
      <c r="N2" s="15">
        <v>0.64762666666666668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5">
        <v>0</v>
      </c>
    </row>
    <row r="3" spans="1:21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4">
        <v>300000</v>
      </c>
      <c r="M3" s="15">
        <v>0.35237333333333332</v>
      </c>
      <c r="N3" s="15">
        <v>0.64762666666666668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5">
        <v>0</v>
      </c>
    </row>
    <row r="4" spans="1:21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4">
        <v>300000</v>
      </c>
      <c r="M4" s="15">
        <v>0.81459999999999999</v>
      </c>
      <c r="N4" s="15">
        <v>0.18540000000000001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5">
        <v>0</v>
      </c>
    </row>
    <row r="5" spans="1:21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4">
        <v>907730</v>
      </c>
      <c r="M5" s="15">
        <v>0.2692210238727375</v>
      </c>
      <c r="N5" s="15">
        <v>0</v>
      </c>
      <c r="O5" s="16">
        <v>0.7307789761272625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5">
        <v>0</v>
      </c>
    </row>
    <row r="6" spans="1:21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4">
        <v>3696918</v>
      </c>
      <c r="M6" s="15">
        <v>3.7509081889292646E-2</v>
      </c>
      <c r="N6" s="15">
        <v>0</v>
      </c>
      <c r="O6" s="16">
        <v>0.17943324682884501</v>
      </c>
      <c r="P6" s="16">
        <v>0.78305767128186232</v>
      </c>
      <c r="Q6" s="16">
        <v>0</v>
      </c>
      <c r="R6" s="16">
        <v>0</v>
      </c>
      <c r="S6" s="16">
        <v>0</v>
      </c>
      <c r="T6" s="16">
        <v>0</v>
      </c>
      <c r="U6" s="15">
        <v>0</v>
      </c>
    </row>
    <row r="7" spans="1:21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4">
        <v>802018</v>
      </c>
      <c r="M7" s="15">
        <v>0.17289886261904347</v>
      </c>
      <c r="N7" s="15">
        <v>0</v>
      </c>
      <c r="O7" s="16">
        <v>0.82710113738095659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5">
        <v>0</v>
      </c>
    </row>
    <row r="8" spans="1:21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4">
        <v>600137</v>
      </c>
      <c r="M8" s="15">
        <v>0.23106057450215534</v>
      </c>
      <c r="N8" s="15">
        <v>0</v>
      </c>
      <c r="O8" s="16">
        <v>0.76893942549784466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5">
        <v>0</v>
      </c>
    </row>
    <row r="9" spans="1:21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4">
        <v>600137</v>
      </c>
      <c r="M9" s="15">
        <v>0.23106057450215534</v>
      </c>
      <c r="N9" s="15">
        <v>0</v>
      </c>
      <c r="O9" s="16">
        <v>0.76893942549784466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5">
        <v>0</v>
      </c>
    </row>
    <row r="10" spans="1:21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4">
        <v>461469</v>
      </c>
      <c r="M10" s="15">
        <v>0</v>
      </c>
      <c r="N10" s="15">
        <v>0</v>
      </c>
      <c r="O10" s="16">
        <v>1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5">
        <v>0</v>
      </c>
    </row>
    <row r="11" spans="1:21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4">
        <v>461469</v>
      </c>
      <c r="M11" s="15">
        <v>0</v>
      </c>
      <c r="N11" s="15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5">
        <v>0</v>
      </c>
    </row>
    <row r="12" spans="1:21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4">
        <v>461469</v>
      </c>
      <c r="M12" s="15">
        <v>0</v>
      </c>
      <c r="N12" s="15">
        <v>0</v>
      </c>
      <c r="O12" s="16">
        <v>1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5">
        <v>0</v>
      </c>
    </row>
    <row r="13" spans="1:21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4">
        <v>592709</v>
      </c>
      <c r="M13" s="15">
        <v>0</v>
      </c>
      <c r="N13" s="15">
        <v>0</v>
      </c>
      <c r="O13" s="16">
        <v>0.77857599597779015</v>
      </c>
      <c r="P13" s="16">
        <v>0</v>
      </c>
      <c r="Q13" s="16">
        <v>0.22142400402220988</v>
      </c>
      <c r="R13" s="16">
        <v>0</v>
      </c>
      <c r="S13" s="16">
        <v>0</v>
      </c>
      <c r="T13" s="16">
        <v>0</v>
      </c>
      <c r="U13" s="15">
        <v>0</v>
      </c>
    </row>
    <row r="14" spans="1:21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4">
        <v>592709</v>
      </c>
      <c r="M14" s="15">
        <v>0</v>
      </c>
      <c r="N14" s="15">
        <v>0</v>
      </c>
      <c r="O14" s="16">
        <v>0.77857599597779015</v>
      </c>
      <c r="P14" s="16">
        <v>0</v>
      </c>
      <c r="Q14" s="16">
        <v>0.22142400402220988</v>
      </c>
      <c r="R14" s="16">
        <v>0</v>
      </c>
      <c r="S14" s="16">
        <v>0</v>
      </c>
      <c r="T14" s="16">
        <v>0</v>
      </c>
      <c r="U14" s="15">
        <v>0</v>
      </c>
    </row>
    <row r="15" spans="1:21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4">
        <v>592709</v>
      </c>
      <c r="M15" s="15">
        <v>0</v>
      </c>
      <c r="N15" s="15">
        <v>0</v>
      </c>
      <c r="O15" s="16">
        <v>0.77857599597779015</v>
      </c>
      <c r="P15" s="16">
        <v>0</v>
      </c>
      <c r="Q15" s="16">
        <v>0.22142400402220988</v>
      </c>
      <c r="R15" s="16">
        <v>0</v>
      </c>
      <c r="S15" s="16">
        <v>0</v>
      </c>
      <c r="T15" s="16">
        <v>0</v>
      </c>
      <c r="U15" s="15">
        <v>0</v>
      </c>
    </row>
    <row r="16" spans="1:21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4">
        <v>3586250</v>
      </c>
      <c r="M16" s="15">
        <v>0</v>
      </c>
      <c r="N16" s="15">
        <v>0</v>
      </c>
      <c r="O16" s="16">
        <v>0.12867730916695713</v>
      </c>
      <c r="P16" s="16">
        <v>0.87132269083304292</v>
      </c>
      <c r="Q16" s="16">
        <v>0</v>
      </c>
      <c r="R16" s="16">
        <v>0</v>
      </c>
      <c r="S16" s="16">
        <v>0</v>
      </c>
      <c r="T16" s="16">
        <v>0</v>
      </c>
      <c r="U16" s="15">
        <v>0</v>
      </c>
    </row>
    <row r="17" spans="1:21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4">
        <v>3586250</v>
      </c>
      <c r="M17" s="15">
        <v>0</v>
      </c>
      <c r="N17" s="15">
        <v>0</v>
      </c>
      <c r="O17" s="16">
        <v>0.12867730916695713</v>
      </c>
      <c r="P17" s="16">
        <v>0.87132269083304292</v>
      </c>
      <c r="Q17" s="16">
        <v>0</v>
      </c>
      <c r="R17" s="16">
        <v>0</v>
      </c>
      <c r="S17" s="16">
        <v>0</v>
      </c>
      <c r="T17" s="16">
        <v>0</v>
      </c>
      <c r="U17" s="15">
        <v>0</v>
      </c>
    </row>
    <row r="18" spans="1:21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193096</v>
      </c>
      <c r="L18" s="14">
        <v>3779346</v>
      </c>
      <c r="M18" s="15">
        <v>0</v>
      </c>
      <c r="N18" s="15">
        <v>0</v>
      </c>
      <c r="O18" s="16">
        <v>0.12210287176670249</v>
      </c>
      <c r="P18" s="16">
        <v>0.8268046905469888</v>
      </c>
      <c r="Q18" s="16">
        <v>0</v>
      </c>
      <c r="R18" s="16">
        <v>0</v>
      </c>
      <c r="S18" s="16">
        <v>0</v>
      </c>
      <c r="T18" s="16">
        <v>0</v>
      </c>
      <c r="U18" s="15">
        <v>5.1092437686308688E-2</v>
      </c>
    </row>
    <row r="19" spans="1:21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193096</v>
      </c>
      <c r="L19" s="14">
        <v>3981471</v>
      </c>
      <c r="M19" s="15">
        <v>0</v>
      </c>
      <c r="N19" s="15">
        <v>0</v>
      </c>
      <c r="O19" s="16">
        <v>0.16667055970017111</v>
      </c>
      <c r="P19" s="16">
        <v>0.78483078239173409</v>
      </c>
      <c r="Q19" s="16">
        <v>0</v>
      </c>
      <c r="R19" s="16">
        <v>0</v>
      </c>
      <c r="S19" s="16">
        <v>0</v>
      </c>
      <c r="T19" s="16">
        <v>0</v>
      </c>
      <c r="U19" s="15">
        <v>4.8498657908094774E-2</v>
      </c>
    </row>
    <row r="20" spans="1:21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193096</v>
      </c>
      <c r="L20" s="14">
        <v>3981471</v>
      </c>
      <c r="M20" s="15">
        <v>0</v>
      </c>
      <c r="N20" s="15">
        <v>0</v>
      </c>
      <c r="O20" s="16">
        <v>0.16667055970017111</v>
      </c>
      <c r="P20" s="16">
        <v>0.78483078239173409</v>
      </c>
      <c r="Q20" s="16">
        <v>0</v>
      </c>
      <c r="R20" s="16">
        <v>0</v>
      </c>
      <c r="S20" s="16">
        <v>0</v>
      </c>
      <c r="T20" s="16">
        <v>0</v>
      </c>
      <c r="U20" s="15">
        <v>4.8498657908094774E-2</v>
      </c>
    </row>
    <row r="21" spans="1:21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416939</v>
      </c>
      <c r="L21" s="14">
        <v>4260349</v>
      </c>
      <c r="M21" s="15">
        <v>1.2917955782495754E-2</v>
      </c>
      <c r="N21" s="15">
        <v>0</v>
      </c>
      <c r="O21" s="16">
        <v>0.1557604787776776</v>
      </c>
      <c r="P21" s="16">
        <v>0.73345657832257405</v>
      </c>
      <c r="Q21" s="16">
        <v>0</v>
      </c>
      <c r="R21" s="16">
        <v>0</v>
      </c>
      <c r="S21" s="16">
        <v>0</v>
      </c>
      <c r="T21" s="16">
        <v>0</v>
      </c>
      <c r="U21" s="15">
        <v>9.7864987117252597E-2</v>
      </c>
    </row>
    <row r="22" spans="1:21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223843</v>
      </c>
      <c r="L22" s="14">
        <v>3524723</v>
      </c>
      <c r="M22" s="15">
        <v>1.5613992929373457E-2</v>
      </c>
      <c r="N22" s="15">
        <v>0</v>
      </c>
      <c r="O22" s="16">
        <v>0</v>
      </c>
      <c r="P22" s="16">
        <v>0.88653236013156211</v>
      </c>
      <c r="Q22" s="16">
        <v>0</v>
      </c>
      <c r="R22" s="16">
        <v>3.4347096211532084E-2</v>
      </c>
      <c r="S22" s="16">
        <v>0</v>
      </c>
      <c r="T22" s="16">
        <v>0</v>
      </c>
      <c r="U22" s="15">
        <v>6.3506550727532349E-2</v>
      </c>
    </row>
    <row r="23" spans="1:21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223843</v>
      </c>
      <c r="L23" s="14">
        <v>3469688</v>
      </c>
      <c r="M23" s="15">
        <v>0</v>
      </c>
      <c r="N23" s="15">
        <v>0</v>
      </c>
      <c r="O23" s="16">
        <v>0</v>
      </c>
      <c r="P23" s="16">
        <v>0.90059423210386635</v>
      </c>
      <c r="Q23" s="16">
        <v>0</v>
      </c>
      <c r="R23" s="16">
        <v>3.4891898061151318E-2</v>
      </c>
      <c r="S23" s="16">
        <v>0</v>
      </c>
      <c r="T23" s="16">
        <v>0</v>
      </c>
      <c r="U23" s="15">
        <v>6.4513869834982279E-2</v>
      </c>
    </row>
    <row r="24" spans="1:21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223843</v>
      </c>
      <c r="L24" s="14">
        <f>SUM(C24:K24)</f>
        <v>460932</v>
      </c>
      <c r="M24" s="15">
        <v>0</v>
      </c>
      <c r="N24" s="15">
        <v>0</v>
      </c>
      <c r="O24" s="16">
        <v>0</v>
      </c>
      <c r="P24" s="16">
        <v>0</v>
      </c>
      <c r="Q24" s="16">
        <f>G24/L24</f>
        <v>0.25171825779073703</v>
      </c>
      <c r="R24" s="16">
        <f>H24/L24</f>
        <v>0.2626504560325601</v>
      </c>
      <c r="S24" s="16">
        <v>0</v>
      </c>
      <c r="T24" s="16">
        <v>0</v>
      </c>
      <c r="U24" s="15">
        <f>K24/L24</f>
        <v>0.48563128617670287</v>
      </c>
    </row>
    <row r="25" spans="1:21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223843</v>
      </c>
      <c r="L25" s="14">
        <v>374479.39</v>
      </c>
      <c r="M25" s="15">
        <v>0</v>
      </c>
      <c r="N25" s="15">
        <v>7.8969339273918415E-2</v>
      </c>
      <c r="O25" s="16">
        <v>0</v>
      </c>
      <c r="P25" s="16">
        <v>0</v>
      </c>
      <c r="Q25" s="16">
        <v>0</v>
      </c>
      <c r="R25" s="16">
        <v>0.32328614933921995</v>
      </c>
      <c r="S25" s="16">
        <v>0</v>
      </c>
      <c r="T25" s="16">
        <v>0</v>
      </c>
      <c r="U25" s="15">
        <v>0.59774451138686158</v>
      </c>
    </row>
    <row r="26" spans="1:21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223843</v>
      </c>
      <c r="L26" s="14">
        <v>372801.92</v>
      </c>
      <c r="M26" s="15">
        <v>0</v>
      </c>
      <c r="N26" s="15">
        <v>7.4825043819516768E-2</v>
      </c>
      <c r="O26" s="16">
        <v>0</v>
      </c>
      <c r="P26" s="16">
        <v>0</v>
      </c>
      <c r="Q26" s="16">
        <v>0</v>
      </c>
      <c r="R26" s="16">
        <v>0.32474081678549299</v>
      </c>
      <c r="S26" s="16">
        <v>0</v>
      </c>
      <c r="T26" s="16">
        <v>0</v>
      </c>
      <c r="U26" s="15">
        <v>0.60043413939499024</v>
      </c>
    </row>
    <row r="27" spans="1:21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223843</v>
      </c>
      <c r="L27" s="14">
        <v>375246.11</v>
      </c>
      <c r="M27" s="15">
        <v>0</v>
      </c>
      <c r="N27" s="15">
        <v>8.0851231209298838E-2</v>
      </c>
      <c r="O27" s="16">
        <v>0</v>
      </c>
      <c r="P27" s="16">
        <v>0</v>
      </c>
      <c r="Q27" s="16">
        <v>0</v>
      </c>
      <c r="R27" s="16">
        <v>0.32262559630531545</v>
      </c>
      <c r="S27" s="16">
        <v>0</v>
      </c>
      <c r="T27" s="16">
        <v>0</v>
      </c>
      <c r="U27" s="15">
        <v>0.59652317248538567</v>
      </c>
    </row>
    <row r="28" spans="1:21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223843</v>
      </c>
      <c r="L28" s="14">
        <v>435718</v>
      </c>
      <c r="M28" s="15">
        <v>0.20841691185583336</v>
      </c>
      <c r="N28" s="15">
        <v>0</v>
      </c>
      <c r="O28" s="16">
        <v>0</v>
      </c>
      <c r="P28" s="16">
        <v>0</v>
      </c>
      <c r="Q28" s="16">
        <v>0</v>
      </c>
      <c r="R28" s="16">
        <v>0.27784943472613022</v>
      </c>
      <c r="S28" s="16">
        <v>0</v>
      </c>
      <c r="T28" s="16">
        <v>0</v>
      </c>
      <c r="U28" s="15">
        <v>0.51373365341803645</v>
      </c>
    </row>
    <row r="29" spans="1:21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223843</v>
      </c>
      <c r="L29" s="14">
        <v>435718</v>
      </c>
      <c r="M29" s="15">
        <v>0.20841691185583336</v>
      </c>
      <c r="N29" s="15">
        <v>0</v>
      </c>
      <c r="O29" s="16">
        <v>0</v>
      </c>
      <c r="P29" s="16">
        <v>0</v>
      </c>
      <c r="Q29" s="16">
        <v>0</v>
      </c>
      <c r="R29" s="16">
        <v>0.27784943472613022</v>
      </c>
      <c r="S29" s="16">
        <v>0</v>
      </c>
      <c r="T29" s="16">
        <v>0</v>
      </c>
      <c r="U29" s="15">
        <v>0.51373365341803645</v>
      </c>
    </row>
    <row r="30" spans="1:21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223843</v>
      </c>
      <c r="L30" s="14">
        <v>435718</v>
      </c>
      <c r="M30" s="15">
        <v>0.20841691185583336</v>
      </c>
      <c r="N30" s="15">
        <v>0</v>
      </c>
      <c r="O30" s="16">
        <v>0</v>
      </c>
      <c r="P30" s="16">
        <v>0</v>
      </c>
      <c r="Q30" s="16">
        <v>0</v>
      </c>
      <c r="R30" s="16">
        <v>0.27784943472613022</v>
      </c>
      <c r="S30" s="16">
        <v>0</v>
      </c>
      <c r="T30" s="16">
        <v>0</v>
      </c>
      <c r="U30" s="15">
        <v>0.51373365341803645</v>
      </c>
    </row>
    <row r="31" spans="1:21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223843</v>
      </c>
      <c r="L31" s="14">
        <v>435718</v>
      </c>
      <c r="M31" s="15">
        <v>0.20841691185583336</v>
      </c>
      <c r="N31" s="15">
        <v>0</v>
      </c>
      <c r="O31" s="16">
        <v>0</v>
      </c>
      <c r="P31" s="16">
        <v>0</v>
      </c>
      <c r="Q31" s="16">
        <v>0</v>
      </c>
      <c r="R31" s="16">
        <v>0.27784943472613022</v>
      </c>
      <c r="S31" s="16">
        <v>0</v>
      </c>
      <c r="T31" s="16">
        <v>0</v>
      </c>
      <c r="U31" s="15">
        <v>0.51373365341803645</v>
      </c>
    </row>
    <row r="32" spans="1:21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223843</v>
      </c>
      <c r="L32" s="14">
        <v>378852.03</v>
      </c>
      <c r="M32" s="15">
        <v>0</v>
      </c>
      <c r="N32" s="15">
        <v>8.9599704665697652E-2</v>
      </c>
      <c r="O32" s="16">
        <v>0</v>
      </c>
      <c r="P32" s="16">
        <v>0</v>
      </c>
      <c r="Q32" s="16">
        <v>0</v>
      </c>
      <c r="R32" s="16">
        <v>0.31955484044786558</v>
      </c>
      <c r="S32" s="16">
        <v>0</v>
      </c>
      <c r="T32" s="16">
        <v>0</v>
      </c>
      <c r="U32" s="15">
        <v>0.5908454548864368</v>
      </c>
    </row>
    <row r="33" spans="1:21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223843</v>
      </c>
      <c r="L33" s="14">
        <v>374437.1</v>
      </c>
      <c r="M33" s="15">
        <v>0</v>
      </c>
      <c r="N33" s="15">
        <v>7.8865315429480623E-2</v>
      </c>
      <c r="O33" s="16">
        <v>0</v>
      </c>
      <c r="P33" s="16">
        <v>0</v>
      </c>
      <c r="Q33" s="16">
        <v>0</v>
      </c>
      <c r="R33" s="16">
        <v>0.32332266220414591</v>
      </c>
      <c r="S33" s="16">
        <v>0</v>
      </c>
      <c r="T33" s="16">
        <v>0</v>
      </c>
      <c r="U33" s="15">
        <v>0.59781202236637343</v>
      </c>
    </row>
    <row r="34" spans="1:21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223843</v>
      </c>
      <c r="L34" s="14">
        <v>372248.26</v>
      </c>
      <c r="M34" s="15">
        <v>0</v>
      </c>
      <c r="N34" s="15">
        <v>7.3448993421755704E-2</v>
      </c>
      <c r="O34" s="16">
        <v>0</v>
      </c>
      <c r="P34" s="16">
        <v>0</v>
      </c>
      <c r="Q34" s="16">
        <v>0</v>
      </c>
      <c r="R34" s="16">
        <v>0.32522381703006481</v>
      </c>
      <c r="S34" s="16">
        <v>0</v>
      </c>
      <c r="T34" s="16">
        <v>0</v>
      </c>
      <c r="U34" s="15">
        <v>0.60132718954817943</v>
      </c>
    </row>
    <row r="35" spans="1:21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223843</v>
      </c>
      <c r="L35" s="14">
        <v>376025.4</v>
      </c>
      <c r="M35" s="15">
        <v>0</v>
      </c>
      <c r="N35" s="15">
        <v>8.2756111688199838E-2</v>
      </c>
      <c r="O35" s="16">
        <v>0</v>
      </c>
      <c r="P35" s="16">
        <v>0</v>
      </c>
      <c r="Q35" s="16">
        <v>0</v>
      </c>
      <c r="R35" s="16">
        <v>0.32195697418312696</v>
      </c>
      <c r="S35" s="16">
        <v>0</v>
      </c>
      <c r="T35" s="16">
        <v>0</v>
      </c>
      <c r="U35" s="15">
        <v>0.59528691412867318</v>
      </c>
    </row>
    <row r="36" spans="1:21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223843</v>
      </c>
      <c r="L36" s="14">
        <v>375009.72</v>
      </c>
      <c r="M36" s="15">
        <v>0</v>
      </c>
      <c r="N36" s="15">
        <v>8.0271839353923874E-2</v>
      </c>
      <c r="O36" s="16">
        <v>0</v>
      </c>
      <c r="P36" s="16">
        <v>0</v>
      </c>
      <c r="Q36" s="16">
        <v>0</v>
      </c>
      <c r="R36" s="16">
        <v>0.32282896560654484</v>
      </c>
      <c r="S36" s="16">
        <v>0</v>
      </c>
      <c r="T36" s="16">
        <v>0</v>
      </c>
      <c r="U36" s="15">
        <v>0.59689919503953126</v>
      </c>
    </row>
    <row r="37" spans="1:21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223843</v>
      </c>
      <c r="L37" s="14">
        <v>375731.28</v>
      </c>
      <c r="M37" s="15">
        <v>0</v>
      </c>
      <c r="N37" s="15">
        <v>8.2038099143622076E-2</v>
      </c>
      <c r="O37" s="16">
        <v>0</v>
      </c>
      <c r="P37" s="16">
        <v>0</v>
      </c>
      <c r="Q37" s="16">
        <v>0</v>
      </c>
      <c r="R37" s="16">
        <v>0.32220900000660047</v>
      </c>
      <c r="S37" s="16">
        <v>0</v>
      </c>
      <c r="T37" s="16">
        <v>0</v>
      </c>
      <c r="U37" s="15">
        <v>0.5957529008497775</v>
      </c>
    </row>
    <row r="38" spans="1:21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223843</v>
      </c>
      <c r="L38" s="14">
        <v>378174.99</v>
      </c>
      <c r="M38" s="15">
        <v>0</v>
      </c>
      <c r="N38" s="15">
        <v>8.79698311091381E-2</v>
      </c>
      <c r="O38" s="16">
        <v>0</v>
      </c>
      <c r="P38" s="16">
        <v>0</v>
      </c>
      <c r="Q38" s="16">
        <v>0</v>
      </c>
      <c r="R38" s="16">
        <v>0.32012693383028845</v>
      </c>
      <c r="S38" s="16">
        <v>0</v>
      </c>
      <c r="T38" s="16">
        <v>0</v>
      </c>
      <c r="U38" s="15">
        <v>0.59190323506057341</v>
      </c>
    </row>
    <row r="39" spans="1:21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223843</v>
      </c>
      <c r="L39" s="14">
        <v>380362.45</v>
      </c>
      <c r="M39" s="15">
        <v>0</v>
      </c>
      <c r="N39" s="15">
        <v>9.3214905940373474E-2</v>
      </c>
      <c r="O39" s="16">
        <v>0</v>
      </c>
      <c r="P39" s="16">
        <v>0</v>
      </c>
      <c r="Q39" s="16">
        <v>0</v>
      </c>
      <c r="R39" s="16">
        <v>0.31828588757907095</v>
      </c>
      <c r="S39" s="16">
        <v>0</v>
      </c>
      <c r="T39" s="16">
        <v>0</v>
      </c>
      <c r="U39" s="15">
        <v>0.58849920648055554</v>
      </c>
    </row>
    <row r="40" spans="1:21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223843</v>
      </c>
      <c r="L40" s="14">
        <v>377185.45</v>
      </c>
      <c r="M40" s="15">
        <v>0</v>
      </c>
      <c r="N40" s="15">
        <v>8.5577134536870422E-2</v>
      </c>
      <c r="O40" s="16">
        <v>0</v>
      </c>
      <c r="P40" s="16">
        <v>0</v>
      </c>
      <c r="Q40" s="16">
        <v>0</v>
      </c>
      <c r="R40" s="16">
        <v>0.32096678172501086</v>
      </c>
      <c r="S40" s="16">
        <v>0</v>
      </c>
      <c r="T40" s="16">
        <v>0</v>
      </c>
      <c r="U40" s="15">
        <v>0.59345608373811876</v>
      </c>
    </row>
    <row r="41" spans="1:21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223843</v>
      </c>
      <c r="L41" s="14">
        <v>378220.45</v>
      </c>
      <c r="M41" s="15">
        <v>0</v>
      </c>
      <c r="N41" s="15">
        <v>8.807945207616355E-2</v>
      </c>
      <c r="O41" s="16">
        <v>0</v>
      </c>
      <c r="P41" s="16">
        <v>0</v>
      </c>
      <c r="Q41" s="16">
        <v>0</v>
      </c>
      <c r="R41" s="16">
        <v>0.32008845634867178</v>
      </c>
      <c r="S41" s="16">
        <v>0</v>
      </c>
      <c r="T41" s="16">
        <v>0</v>
      </c>
      <c r="U41" s="15">
        <v>0.5918320915751647</v>
      </c>
    </row>
    <row r="42" spans="1:21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223843</v>
      </c>
      <c r="L42" s="14">
        <v>679531</v>
      </c>
      <c r="M42" s="15">
        <v>0.49243375210255308</v>
      </c>
      <c r="N42" s="15">
        <v>0</v>
      </c>
      <c r="O42" s="16">
        <v>0</v>
      </c>
      <c r="P42" s="16">
        <v>0</v>
      </c>
      <c r="Q42" s="16">
        <v>0</v>
      </c>
      <c r="R42" s="16">
        <v>0.17815817085607574</v>
      </c>
      <c r="S42" s="16">
        <v>0</v>
      </c>
      <c r="T42" s="16">
        <v>0</v>
      </c>
      <c r="U42" s="15">
        <v>0.32940807704137121</v>
      </c>
    </row>
    <row r="43" spans="1:21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223843</v>
      </c>
      <c r="L43" s="14">
        <v>679531</v>
      </c>
      <c r="M43" s="15">
        <v>0.49243375210255308</v>
      </c>
      <c r="N43" s="15">
        <v>0</v>
      </c>
      <c r="O43" s="16">
        <v>0</v>
      </c>
      <c r="P43" s="16">
        <v>0</v>
      </c>
      <c r="Q43" s="16">
        <v>0</v>
      </c>
      <c r="R43" s="16">
        <v>0.17815817085607574</v>
      </c>
      <c r="S43" s="16">
        <v>0</v>
      </c>
      <c r="T43" s="16">
        <v>0</v>
      </c>
      <c r="U43" s="15">
        <v>0.32940807704137121</v>
      </c>
    </row>
    <row r="44" spans="1:21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223843</v>
      </c>
      <c r="L44" s="14">
        <v>391793.7</v>
      </c>
      <c r="M44" s="15">
        <v>0</v>
      </c>
      <c r="N44" s="15">
        <v>0.11967190896637697</v>
      </c>
      <c r="O44" s="16">
        <v>0</v>
      </c>
      <c r="P44" s="16">
        <v>0</v>
      </c>
      <c r="Q44" s="16">
        <v>0</v>
      </c>
      <c r="R44" s="16">
        <v>0.30899935348628627</v>
      </c>
      <c r="S44" s="16">
        <v>0</v>
      </c>
      <c r="T44" s="16">
        <v>0</v>
      </c>
      <c r="U44" s="15">
        <v>0.57132873754733671</v>
      </c>
    </row>
    <row r="45" spans="1:21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223843</v>
      </c>
      <c r="L45" s="14">
        <v>388741.7</v>
      </c>
      <c r="M45" s="15">
        <v>0</v>
      </c>
      <c r="N45" s="15">
        <v>0.11276047823014616</v>
      </c>
      <c r="O45" s="16">
        <v>0</v>
      </c>
      <c r="P45" s="16">
        <v>0</v>
      </c>
      <c r="Q45" s="16">
        <v>0</v>
      </c>
      <c r="R45" s="16">
        <v>0.3114252985980151</v>
      </c>
      <c r="S45" s="16">
        <v>0</v>
      </c>
      <c r="T45" s="16">
        <v>0</v>
      </c>
      <c r="U45" s="15">
        <v>0.57581422317183872</v>
      </c>
    </row>
    <row r="46" spans="1:21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223843</v>
      </c>
      <c r="L46" s="14">
        <v>385314.7</v>
      </c>
      <c r="M46" s="15">
        <v>0</v>
      </c>
      <c r="N46" s="15">
        <v>0.10486934446051503</v>
      </c>
      <c r="O46" s="16">
        <v>0</v>
      </c>
      <c r="P46" s="16">
        <v>0</v>
      </c>
      <c r="Q46" s="16">
        <v>0</v>
      </c>
      <c r="R46" s="16">
        <v>0.31419512414138362</v>
      </c>
      <c r="S46" s="16">
        <v>0</v>
      </c>
      <c r="T46" s="16">
        <v>0</v>
      </c>
      <c r="U46" s="15">
        <v>0.58093553139810128</v>
      </c>
    </row>
    <row r="47" spans="1:21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223843</v>
      </c>
      <c r="L47" s="14">
        <v>383427.7</v>
      </c>
      <c r="M47" s="15">
        <v>0</v>
      </c>
      <c r="N47" s="15">
        <v>0.1004640509801457</v>
      </c>
      <c r="O47" s="16">
        <v>0</v>
      </c>
      <c r="P47" s="16">
        <v>0</v>
      </c>
      <c r="Q47" s="16">
        <v>0</v>
      </c>
      <c r="R47" s="16">
        <v>0.31574140313806226</v>
      </c>
      <c r="S47" s="16">
        <v>0</v>
      </c>
      <c r="T47" s="16">
        <v>0</v>
      </c>
      <c r="U47" s="15">
        <v>0.58379454588179203</v>
      </c>
    </row>
    <row r="48" spans="1:21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223843</v>
      </c>
      <c r="L48" s="14">
        <v>381652.7</v>
      </c>
      <c r="M48" s="15">
        <v>0</v>
      </c>
      <c r="N48" s="15">
        <v>9.6280466507901064E-2</v>
      </c>
      <c r="O48" s="16">
        <v>0</v>
      </c>
      <c r="P48" s="16">
        <v>0</v>
      </c>
      <c r="Q48" s="16">
        <v>0</v>
      </c>
      <c r="R48" s="16">
        <v>0.31720986121675543</v>
      </c>
      <c r="S48" s="16">
        <v>0</v>
      </c>
      <c r="T48" s="16">
        <v>0</v>
      </c>
      <c r="U48" s="15">
        <v>0.58650967227534356</v>
      </c>
    </row>
    <row r="49" spans="1:21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223843</v>
      </c>
      <c r="L49" s="14">
        <v>383198.7</v>
      </c>
      <c r="M49" s="15">
        <v>0</v>
      </c>
      <c r="N49" s="15">
        <v>9.9926487224513055E-2</v>
      </c>
      <c r="O49" s="16">
        <v>0</v>
      </c>
      <c r="P49" s="16">
        <v>0</v>
      </c>
      <c r="Q49" s="16">
        <v>0</v>
      </c>
      <c r="R49" s="16">
        <v>0.31593009057702959</v>
      </c>
      <c r="S49" s="16">
        <v>0</v>
      </c>
      <c r="T49" s="16">
        <v>0</v>
      </c>
      <c r="U49" s="15">
        <v>0.58414342219845738</v>
      </c>
    </row>
    <row r="50" spans="1:21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223843</v>
      </c>
      <c r="L50" s="14">
        <v>384776.7</v>
      </c>
      <c r="M50" s="15">
        <v>0</v>
      </c>
      <c r="N50" s="15">
        <v>0.10361776063883289</v>
      </c>
      <c r="O50" s="16">
        <v>0</v>
      </c>
      <c r="P50" s="16">
        <v>0</v>
      </c>
      <c r="Q50" s="16">
        <v>0</v>
      </c>
      <c r="R50" s="16">
        <v>0.31463443602484248</v>
      </c>
      <c r="S50" s="16">
        <v>0</v>
      </c>
      <c r="T50" s="16">
        <v>0</v>
      </c>
      <c r="U50" s="15">
        <v>0.5817478033363247</v>
      </c>
    </row>
    <row r="51" spans="1:21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8">
        <v>54051</v>
      </c>
      <c r="L51" s="14">
        <v>384909.7</v>
      </c>
      <c r="M51" s="15">
        <v>0</v>
      </c>
      <c r="N51" s="15">
        <v>6.342448631458239E-2</v>
      </c>
      <c r="O51" s="16">
        <v>0</v>
      </c>
      <c r="P51" s="16">
        <v>0</v>
      </c>
      <c r="Q51" s="16">
        <v>0</v>
      </c>
      <c r="R51" s="16">
        <v>0.31452571862959028</v>
      </c>
      <c r="S51" s="16">
        <v>0.48162465118442066</v>
      </c>
      <c r="T51" s="16">
        <v>0</v>
      </c>
      <c r="U51" s="15">
        <v>0.14042514387140673</v>
      </c>
    </row>
    <row r="52" spans="1:21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8">
        <v>54051</v>
      </c>
      <c r="L52" s="14">
        <v>379686.7</v>
      </c>
      <c r="M52" s="15">
        <v>0</v>
      </c>
      <c r="N52" s="15">
        <v>5.0540880151977961E-2</v>
      </c>
      <c r="O52" s="16">
        <v>0</v>
      </c>
      <c r="P52" s="16">
        <v>0</v>
      </c>
      <c r="Q52" s="16">
        <v>0</v>
      </c>
      <c r="R52" s="16">
        <v>0.31885235906340675</v>
      </c>
      <c r="S52" s="16">
        <v>0.48824991762945608</v>
      </c>
      <c r="T52" s="16">
        <v>0</v>
      </c>
      <c r="U52" s="15">
        <v>0.14235684315515923</v>
      </c>
    </row>
    <row r="53" spans="1:21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8">
        <v>218671</v>
      </c>
      <c r="L53" s="14">
        <f>SUM(C53:K53)</f>
        <v>676730</v>
      </c>
      <c r="M53" s="15">
        <v>0</v>
      </c>
      <c r="N53" s="15">
        <v>0</v>
      </c>
      <c r="O53" s="16">
        <v>0</v>
      </c>
      <c r="P53" s="16">
        <v>0</v>
      </c>
      <c r="Q53" s="16">
        <f>G53/L53</f>
        <v>0.2699821199001079</v>
      </c>
      <c r="R53" s="16">
        <f>H53/L53</f>
        <v>0.17889557135046474</v>
      </c>
      <c r="S53" s="16">
        <f>I53/L53</f>
        <v>0.22799343903772554</v>
      </c>
      <c r="T53" s="16">
        <v>0</v>
      </c>
      <c r="U53" s="15">
        <f>K53/L53</f>
        <v>0.32312886971170185</v>
      </c>
    </row>
    <row r="54" spans="1:21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8">
        <v>218671</v>
      </c>
      <c r="L54" s="14">
        <v>494025</v>
      </c>
      <c r="M54" s="15">
        <v>0</v>
      </c>
      <c r="N54" s="15">
        <v>0</v>
      </c>
      <c r="O54" s="16">
        <v>0</v>
      </c>
      <c r="P54" s="16">
        <v>0</v>
      </c>
      <c r="Q54" s="16">
        <v>0</v>
      </c>
      <c r="R54" s="16">
        <v>0.24505642427002683</v>
      </c>
      <c r="S54" s="16">
        <v>0.31231212995293761</v>
      </c>
      <c r="T54" s="16">
        <v>0</v>
      </c>
      <c r="U54" s="15">
        <v>0.44263144577703556</v>
      </c>
    </row>
    <row r="55" spans="1:21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8">
        <v>218671</v>
      </c>
      <c r="L55" s="14">
        <v>494025</v>
      </c>
      <c r="M55" s="15">
        <v>0</v>
      </c>
      <c r="N55" s="15">
        <v>0</v>
      </c>
      <c r="O55" s="16">
        <v>0</v>
      </c>
      <c r="P55" s="16">
        <v>0</v>
      </c>
      <c r="Q55" s="16">
        <v>0</v>
      </c>
      <c r="R55" s="16">
        <v>0.24505642427002683</v>
      </c>
      <c r="S55" s="16">
        <v>0.31231212995293761</v>
      </c>
      <c r="T55" s="16">
        <v>0</v>
      </c>
      <c r="U55" s="15">
        <v>0.44263144577703556</v>
      </c>
    </row>
    <row r="56" spans="1:21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8">
        <v>218671</v>
      </c>
      <c r="L56" s="14">
        <v>494025</v>
      </c>
      <c r="M56" s="15">
        <v>0</v>
      </c>
      <c r="N56" s="15">
        <v>0</v>
      </c>
      <c r="O56" s="16">
        <v>0</v>
      </c>
      <c r="P56" s="16">
        <v>0</v>
      </c>
      <c r="Q56" s="16">
        <v>0</v>
      </c>
      <c r="R56" s="16">
        <v>0.24505642427002683</v>
      </c>
      <c r="S56" s="16">
        <v>0.31231212995293761</v>
      </c>
      <c r="T56" s="16">
        <v>0</v>
      </c>
      <c r="U56" s="15">
        <v>0.44263144577703556</v>
      </c>
    </row>
    <row r="57" spans="1:21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8">
        <v>218671</v>
      </c>
      <c r="L57" s="14">
        <v>494025</v>
      </c>
      <c r="M57" s="15">
        <v>0</v>
      </c>
      <c r="N57" s="15">
        <v>0</v>
      </c>
      <c r="O57" s="16">
        <v>0</v>
      </c>
      <c r="P57" s="16">
        <v>0</v>
      </c>
      <c r="Q57" s="16">
        <v>0</v>
      </c>
      <c r="R57" s="16">
        <v>0.24505642427002683</v>
      </c>
      <c r="S57" s="16">
        <v>0.31231212995293761</v>
      </c>
      <c r="T57" s="16">
        <v>0</v>
      </c>
      <c r="U57" s="15">
        <v>0.44263144577703556</v>
      </c>
    </row>
    <row r="58" spans="1:21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8">
        <v>218671</v>
      </c>
      <c r="L58" s="14">
        <v>494025</v>
      </c>
      <c r="M58" s="15">
        <v>0</v>
      </c>
      <c r="N58" s="15">
        <v>0</v>
      </c>
      <c r="O58" s="16">
        <v>0</v>
      </c>
      <c r="P58" s="16">
        <v>0</v>
      </c>
      <c r="Q58" s="16">
        <v>0</v>
      </c>
      <c r="R58" s="16">
        <v>0.24505642427002683</v>
      </c>
      <c r="S58" s="16">
        <v>0.31231212995293761</v>
      </c>
      <c r="T58" s="16">
        <v>0</v>
      </c>
      <c r="U58" s="15">
        <v>0.44263144577703556</v>
      </c>
    </row>
    <row r="59" spans="1:21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8">
        <v>218671</v>
      </c>
      <c r="L59" s="14">
        <f>SUM(C59:K59)</f>
        <v>1945025</v>
      </c>
      <c r="M59" s="15">
        <v>0</v>
      </c>
      <c r="N59" s="15">
        <v>0</v>
      </c>
      <c r="O59" s="16">
        <v>0</v>
      </c>
      <c r="P59" s="16">
        <f>E59/L59</f>
        <v>0.7460058354005733</v>
      </c>
      <c r="Q59" s="16">
        <v>0</v>
      </c>
      <c r="R59" s="16">
        <f>H59/L59</f>
        <v>6.2242901762188149E-2</v>
      </c>
      <c r="S59" s="16">
        <f>I59/L59</f>
        <v>7.9325458541663993E-2</v>
      </c>
      <c r="T59" s="16">
        <v>0</v>
      </c>
      <c r="U59" s="15">
        <f>K59/L59</f>
        <v>0.11242580429557461</v>
      </c>
    </row>
    <row r="60" spans="1:21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8">
        <v>218671</v>
      </c>
      <c r="L60" s="14">
        <v>930260</v>
      </c>
      <c r="M60" s="15">
        <v>0</v>
      </c>
      <c r="N60" s="15">
        <v>0</v>
      </c>
      <c r="O60" s="16">
        <v>0</v>
      </c>
      <c r="P60" s="16">
        <v>0.46893879130565647</v>
      </c>
      <c r="Q60" s="16">
        <v>0</v>
      </c>
      <c r="R60" s="16">
        <v>0.13013996087115431</v>
      </c>
      <c r="S60" s="16">
        <v>0.16585685722271193</v>
      </c>
      <c r="T60" s="16">
        <v>0</v>
      </c>
      <c r="U60" s="15">
        <v>0.23506439060047729</v>
      </c>
    </row>
    <row r="61" spans="1:21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8">
        <v>218671</v>
      </c>
      <c r="L61" s="14">
        <f>SUM(C61:K61)</f>
        <v>1204798</v>
      </c>
      <c r="M61" s="15">
        <f>C61/L61</f>
        <v>0.11067249447625245</v>
      </c>
      <c r="N61" s="15">
        <v>0</v>
      </c>
      <c r="O61" s="16">
        <f>F61/L61</f>
        <v>0.11719806971791122</v>
      </c>
      <c r="P61" s="16">
        <f>E61/L61</f>
        <v>0.36208144435830736</v>
      </c>
      <c r="Q61" s="16">
        <v>0</v>
      </c>
      <c r="R61" s="16">
        <f>H61/L61</f>
        <v>0.10048489456323799</v>
      </c>
      <c r="S61" s="16">
        <f>I61/L61</f>
        <v>0.12806296159190173</v>
      </c>
      <c r="T61" s="16">
        <v>0</v>
      </c>
      <c r="U61" s="15">
        <f>K61/L61</f>
        <v>0.18150013529238926</v>
      </c>
    </row>
    <row r="62" spans="1:21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8">
        <v>54671</v>
      </c>
      <c r="L62" s="14">
        <v>396282.31</v>
      </c>
      <c r="M62" s="15">
        <v>0</v>
      </c>
      <c r="N62" s="15">
        <v>0.86204027123996529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5">
        <v>0.13795972876003473</v>
      </c>
    </row>
    <row r="63" spans="1:21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8">
        <v>54671</v>
      </c>
      <c r="L63" s="14">
        <v>395802.31</v>
      </c>
      <c r="M63" s="15">
        <v>0</v>
      </c>
      <c r="N63" s="15">
        <v>0.86187296380357159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5">
        <v>0.13812703619642847</v>
      </c>
    </row>
    <row r="64" spans="1:21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8">
        <v>54671</v>
      </c>
      <c r="L64" s="14">
        <v>396617.31</v>
      </c>
      <c r="M64" s="15">
        <v>0</v>
      </c>
      <c r="N64" s="15">
        <v>0.8621567979471193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5">
        <v>0.13784320205288064</v>
      </c>
    </row>
    <row r="65" spans="1:21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8">
        <v>54671</v>
      </c>
      <c r="L65" s="14">
        <v>396917.31</v>
      </c>
      <c r="M65" s="15">
        <v>0</v>
      </c>
      <c r="N65" s="15">
        <v>0.86226098327634038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5">
        <v>0.13773901672365965</v>
      </c>
    </row>
    <row r="66" spans="1:21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8">
        <v>54671</v>
      </c>
      <c r="L66" s="14">
        <v>399269.72</v>
      </c>
      <c r="M66" s="15">
        <v>0.14977093679931452</v>
      </c>
      <c r="N66" s="15">
        <v>0.71330157468490218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5">
        <v>0.13692748851578326</v>
      </c>
    </row>
    <row r="67" spans="1:21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8">
        <v>54671</v>
      </c>
      <c r="L67" s="14">
        <v>926093</v>
      </c>
      <c r="M67" s="15">
        <v>0.94096597209999433</v>
      </c>
      <c r="N67" s="15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5">
        <v>5.9034027900005726E-2</v>
      </c>
    </row>
    <row r="68" spans="1:21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8">
        <v>54671</v>
      </c>
      <c r="L68" s="14">
        <v>794093</v>
      </c>
      <c r="M68" s="15">
        <v>0.93115290022705144</v>
      </c>
      <c r="N68" s="15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5">
        <v>6.8847099772948506E-2</v>
      </c>
    </row>
    <row r="69" spans="1:21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8">
        <v>0</v>
      </c>
      <c r="L69" s="14">
        <f t="shared" ref="L69:L82" si="0">SUM(C69:K69)</f>
        <v>407651</v>
      </c>
      <c r="M69" s="15">
        <v>0.25051515991027662</v>
      </c>
      <c r="N69" s="15">
        <v>0.74948484008972338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5">
        <v>0</v>
      </c>
    </row>
    <row r="70" spans="1:21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8">
        <v>0</v>
      </c>
      <c r="L70" s="14">
        <f t="shared" si="0"/>
        <v>408551</v>
      </c>
      <c r="M70" s="15">
        <f t="shared" ref="M70:M75" si="1">C70/L70</f>
        <v>0.24736201845057287</v>
      </c>
      <c r="N70" s="15">
        <f t="shared" ref="N70:N75" si="2">D70/L70</f>
        <v>0.75263798154942707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5">
        <v>0</v>
      </c>
    </row>
    <row r="71" spans="1:21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8">
        <v>0</v>
      </c>
      <c r="L71" s="14">
        <f t="shared" si="0"/>
        <v>408551</v>
      </c>
      <c r="M71" s="15">
        <f t="shared" si="1"/>
        <v>0.24736201845057287</v>
      </c>
      <c r="N71" s="15">
        <f t="shared" si="2"/>
        <v>0.75263798154942707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5">
        <v>0</v>
      </c>
    </row>
    <row r="72" spans="1:21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8">
        <v>0</v>
      </c>
      <c r="L72" s="14">
        <f t="shared" si="0"/>
        <v>408551</v>
      </c>
      <c r="M72" s="15">
        <f t="shared" si="1"/>
        <v>0.24736201845057287</v>
      </c>
      <c r="N72" s="15">
        <f t="shared" si="2"/>
        <v>0.75263798154942707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5">
        <v>0</v>
      </c>
    </row>
    <row r="73" spans="1:21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8">
        <v>0</v>
      </c>
      <c r="L73" s="14">
        <f t="shared" si="0"/>
        <v>409358</v>
      </c>
      <c r="M73" s="15">
        <f t="shared" si="1"/>
        <v>0.45189296410476892</v>
      </c>
      <c r="N73" s="15">
        <f t="shared" si="2"/>
        <v>0.54810703589523102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5">
        <v>0</v>
      </c>
    </row>
    <row r="74" spans="1:21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8">
        <v>120370</v>
      </c>
      <c r="L74" s="14">
        <f t="shared" si="0"/>
        <v>563114</v>
      </c>
      <c r="M74" s="15">
        <f t="shared" si="1"/>
        <v>0.74001534325198803</v>
      </c>
      <c r="N74" s="15">
        <f t="shared" si="2"/>
        <v>0</v>
      </c>
      <c r="O74" s="16">
        <v>0</v>
      </c>
      <c r="P74" s="16">
        <v>0</v>
      </c>
      <c r="Q74" s="16">
        <v>0</v>
      </c>
      <c r="R74" s="16">
        <v>0</v>
      </c>
      <c r="S74" s="16">
        <f t="shared" ref="S74:S79" si="3">I74/L74</f>
        <v>4.6226874132058518E-2</v>
      </c>
      <c r="T74" s="16">
        <f>K74/L74</f>
        <v>0.21375778261595343</v>
      </c>
      <c r="U74" s="15">
        <v>0</v>
      </c>
    </row>
    <row r="75" spans="1:21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4">
        <f t="shared" si="0"/>
        <v>412405</v>
      </c>
      <c r="M75" s="15">
        <f t="shared" si="1"/>
        <v>0.52517307016161296</v>
      </c>
      <c r="N75" s="15">
        <f t="shared" si="2"/>
        <v>0.41170693856767016</v>
      </c>
      <c r="O75" s="16">
        <v>0</v>
      </c>
      <c r="P75" s="16">
        <v>0</v>
      </c>
      <c r="Q75" s="16">
        <v>0</v>
      </c>
      <c r="R75" s="16">
        <v>0</v>
      </c>
      <c r="S75" s="16">
        <f t="shared" si="3"/>
        <v>6.3119991270716894E-2</v>
      </c>
      <c r="T75" s="16">
        <f>K75/L75</f>
        <v>0</v>
      </c>
      <c r="U75" s="15">
        <v>0</v>
      </c>
    </row>
    <row r="76" spans="1:21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8">
        <v>0</v>
      </c>
      <c r="L76" s="14">
        <f t="shared" si="0"/>
        <v>408536</v>
      </c>
      <c r="M76" s="15">
        <f t="shared" ref="M76" si="4">C76/L76</f>
        <v>0.74552793389077099</v>
      </c>
      <c r="N76" s="15">
        <f t="shared" ref="N76" si="5">D76/L76</f>
        <v>0.25447206610922907</v>
      </c>
      <c r="O76" s="16">
        <v>0</v>
      </c>
      <c r="P76" s="16">
        <v>0</v>
      </c>
      <c r="Q76" s="16">
        <v>0</v>
      </c>
      <c r="R76" s="16">
        <v>0</v>
      </c>
      <c r="S76" s="16">
        <f t="shared" si="3"/>
        <v>0</v>
      </c>
      <c r="T76" s="16">
        <f>K76/L76</f>
        <v>0</v>
      </c>
      <c r="U76" s="15">
        <v>0</v>
      </c>
    </row>
    <row r="77" spans="1:21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8">
        <v>0</v>
      </c>
      <c r="L77" s="14">
        <f t="shared" si="0"/>
        <v>406109</v>
      </c>
      <c r="M77" s="15">
        <f t="shared" ref="M77" si="6">C77/L77</f>
        <v>0.96410569576148275</v>
      </c>
      <c r="N77" s="15">
        <f t="shared" ref="N77" si="7">D77/L77</f>
        <v>3.5894304238517243E-2</v>
      </c>
      <c r="O77" s="16">
        <v>0</v>
      </c>
      <c r="P77" s="16">
        <v>0</v>
      </c>
      <c r="Q77" s="16">
        <v>0</v>
      </c>
      <c r="R77" s="16">
        <v>0</v>
      </c>
      <c r="S77" s="16">
        <f t="shared" si="3"/>
        <v>0</v>
      </c>
      <c r="T77" s="16">
        <f>K77/L77</f>
        <v>0</v>
      </c>
      <c r="U77" s="15">
        <v>0</v>
      </c>
    </row>
    <row r="78" spans="1:21" x14ac:dyDescent="0.25">
      <c r="A78" s="10">
        <v>46281</v>
      </c>
      <c r="B78" s="11">
        <f>B77+5870</f>
        <v>411979</v>
      </c>
      <c r="C78" s="19">
        <v>288016</v>
      </c>
      <c r="D78" s="13">
        <f>B78-C78-K78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8">
        <v>88000</v>
      </c>
      <c r="L78" s="14">
        <f t="shared" si="0"/>
        <v>411979</v>
      </c>
      <c r="M78" s="15">
        <f t="shared" ref="M78" si="8">C78/L78</f>
        <v>0.69910359508615727</v>
      </c>
      <c r="N78" s="15">
        <f t="shared" ref="N78" si="9">D78/L78</f>
        <v>8.7293284366436158E-2</v>
      </c>
      <c r="O78" s="16">
        <v>0</v>
      </c>
      <c r="P78" s="16">
        <v>0</v>
      </c>
      <c r="Q78" s="16">
        <v>0</v>
      </c>
      <c r="R78" s="16">
        <v>0</v>
      </c>
      <c r="S78" s="16">
        <f t="shared" si="3"/>
        <v>0</v>
      </c>
      <c r="T78" s="16">
        <v>0</v>
      </c>
      <c r="U78" s="16">
        <f>K78/L78</f>
        <v>0.21360312054740654</v>
      </c>
    </row>
    <row r="79" spans="1:21" x14ac:dyDescent="0.25">
      <c r="A79" s="10">
        <v>46282</v>
      </c>
      <c r="B79" s="11">
        <v>415663</v>
      </c>
      <c r="C79" s="19">
        <v>235136</v>
      </c>
      <c r="D79" s="13">
        <f>B79-C79-K79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8">
        <v>44000</v>
      </c>
      <c r="L79" s="14">
        <f t="shared" si="0"/>
        <v>415663</v>
      </c>
      <c r="M79" s="15">
        <f t="shared" ref="M79" si="10">C79/L79</f>
        <v>0.56568903173965446</v>
      </c>
      <c r="N79" s="15">
        <f t="shared" ref="N79" si="11">D79/L79</f>
        <v>0.32845598477612875</v>
      </c>
      <c r="O79" s="16">
        <v>0</v>
      </c>
      <c r="P79" s="16">
        <v>0</v>
      </c>
      <c r="Q79" s="16">
        <v>0</v>
      </c>
      <c r="R79" s="16">
        <v>0</v>
      </c>
      <c r="S79" s="16">
        <f t="shared" si="3"/>
        <v>0</v>
      </c>
      <c r="T79" s="16">
        <v>0</v>
      </c>
      <c r="U79" s="16">
        <f>K79/L79</f>
        <v>0.10585498348421678</v>
      </c>
    </row>
    <row r="80" spans="1:21" x14ac:dyDescent="0.25">
      <c r="A80" s="10">
        <v>46283</v>
      </c>
      <c r="B80" s="11">
        <v>413875</v>
      </c>
      <c r="C80" s="19">
        <v>17795</v>
      </c>
      <c r="D80" s="13">
        <f>B80-C80-K80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8">
        <v>44000</v>
      </c>
      <c r="L80" s="14">
        <f t="shared" si="0"/>
        <v>413875</v>
      </c>
      <c r="M80" s="15">
        <f t="shared" ref="M80" si="12">C80/L80</f>
        <v>4.299607369374811E-2</v>
      </c>
      <c r="N80" s="15">
        <f t="shared" ref="N80" si="13">D80/L80</f>
        <v>0.85069163394744796</v>
      </c>
      <c r="O80" s="16">
        <v>0</v>
      </c>
      <c r="P80" s="16">
        <v>0</v>
      </c>
      <c r="Q80" s="16">
        <v>0</v>
      </c>
      <c r="R80" s="16">
        <v>0</v>
      </c>
      <c r="S80" s="16">
        <f t="shared" ref="S80" si="14">I80/L80</f>
        <v>0</v>
      </c>
      <c r="T80" s="16">
        <v>0</v>
      </c>
      <c r="U80" s="16">
        <f>K80/L80</f>
        <v>0.10631229235880399</v>
      </c>
    </row>
    <row r="81" spans="1:21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8">
        <v>44000</v>
      </c>
      <c r="L81" s="14">
        <f t="shared" si="0"/>
        <v>504892</v>
      </c>
      <c r="M81" s="15">
        <f t="shared" ref="M81" si="15">C81/L81</f>
        <v>0.60245359403595222</v>
      </c>
      <c r="N81" s="15">
        <f t="shared" ref="N81" si="16">D81/L81</f>
        <v>0</v>
      </c>
      <c r="O81" s="16">
        <v>0</v>
      </c>
      <c r="P81" s="16">
        <v>0</v>
      </c>
      <c r="Q81" s="16">
        <v>0</v>
      </c>
      <c r="R81" s="16">
        <v>0</v>
      </c>
      <c r="S81" s="16">
        <f t="shared" ref="S81" si="17">I81/L81</f>
        <v>0.31039905563962195</v>
      </c>
      <c r="T81" s="16">
        <v>0</v>
      </c>
      <c r="U81" s="16">
        <f>K81/L81</f>
        <v>8.7147350324425818E-2</v>
      </c>
    </row>
    <row r="82" spans="1:21" x14ac:dyDescent="0.25">
      <c r="A82" s="10">
        <v>46287</v>
      </c>
      <c r="B82" s="11">
        <v>419352</v>
      </c>
      <c r="C82" s="19">
        <v>254975</v>
      </c>
      <c r="D82" s="13">
        <f>B82-C82-K82</f>
        <v>120377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8">
        <v>44000</v>
      </c>
      <c r="L82" s="14">
        <f t="shared" si="0"/>
        <v>419352</v>
      </c>
      <c r="M82" s="15">
        <f t="shared" ref="M82" si="18">C82/L82</f>
        <v>0.60802142352963617</v>
      </c>
      <c r="N82" s="15">
        <f t="shared" ref="N82" si="19">D82/L82</f>
        <v>0.28705478929395828</v>
      </c>
      <c r="O82" s="16">
        <v>0</v>
      </c>
      <c r="P82" s="16">
        <v>0</v>
      </c>
      <c r="Q82" s="16">
        <v>0</v>
      </c>
      <c r="R82" s="16">
        <v>0</v>
      </c>
      <c r="S82" s="16">
        <f t="shared" ref="S82" si="20">I82/L82</f>
        <v>0</v>
      </c>
      <c r="T82" s="16">
        <v>0</v>
      </c>
      <c r="U82" s="16">
        <f>K82/L82</f>
        <v>0.10492378717640551</v>
      </c>
    </row>
    <row r="1048543" spans="1:1" x14ac:dyDescent="0.25">
      <c r="A1048543" s="10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2026-09-22T21:04:10Z</dcterms:modified>
  <cp:category/>
  <cp:contentStatus/>
</cp:coreProperties>
</file>