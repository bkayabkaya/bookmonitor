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ABFCB2F3-A276-A642-8446-4D9500EE333D}" xr6:coauthVersionLast="47" xr6:coauthVersionMax="47" xr10:uidLastSave="{00000000-0000-0000-0000-000000000000}"/>
  <bookViews>
    <workbookView xWindow="7440" yWindow="-34040" windowWidth="45120" windowHeight="250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78" i="7" l="1"/>
  <c r="G70" i="3" a="1"/>
  <c r="G70" i="3" s="1"/>
  <c r="G69" i="3" a="1"/>
  <c r="G69" i="3" s="1"/>
  <c r="G68" i="3"/>
  <c r="G66" i="3"/>
  <c r="G65" i="3"/>
  <c r="D71" i="3"/>
  <c r="C71" i="3"/>
  <c r="B71" i="3"/>
  <c r="S78" i="7"/>
  <c r="N78" i="7"/>
  <c r="M78" i="7"/>
  <c r="L78" i="7"/>
  <c r="D78" i="7"/>
  <c r="B78" i="7"/>
  <c r="V41" i="1"/>
  <c r="U41" i="1"/>
  <c r="D39" i="1"/>
  <c r="T77" i="7"/>
  <c r="S77" i="7"/>
  <c r="N77" i="7"/>
  <c r="M77" i="7"/>
  <c r="L77" i="7"/>
  <c r="D77" i="7"/>
  <c r="D70" i="3"/>
  <c r="C70" i="3"/>
  <c r="B70" i="3"/>
  <c r="T76" i="7" l="1"/>
  <c r="S76" i="7"/>
  <c r="N76" i="7"/>
  <c r="M76" i="7"/>
  <c r="L76" i="7"/>
  <c r="D76" i="7"/>
  <c r="S35" i="1"/>
  <c r="D75" i="7" l="1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E41" i="1"/>
  <c r="E42" i="1"/>
  <c r="U44" i="1"/>
  <c r="U50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<sst xmlns="http://schemas.openxmlformats.org/spreadsheetml/2006/main" count="795" uniqueCount="593">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</sst>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"/>
  <sheetViews>
    <sheetView tabSelected="1" zoomScale="110" zoomScaleNormal="110" workbookViewId="0">
      <pane ySplit="1" topLeftCell="A11" activePane="bottomLeft" state="frozen"/>
      <selection activeCell="D1" sqref="D1"/>
      <selection pane="bottomLeft" activeCell="B47" sqref="B47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2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2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2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2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2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2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2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2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2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5" si="4">IF(R25=1, ABS(N25-M25)/M25, 0)</f>
        <v>3.9539800653504951E-3</v>
      </c>
      <c r="T25" s="33">
        <v>1710</v>
      </c>
      <c r="U25" s="41">
        <v>1710</v>
      </c>
    </row>
    <row r="26" spans="1:22" x14ac:dyDescent="0.25">
      <c r="A26" s="33">
        <v>21</v>
      </c>
      <c r="B26" s="34">
        <v>46258</v>
      </c>
      <c r="C26" s="34">
        <v>46259</v>
      </c>
      <c r="D26" s="35">
        <f t="shared" ref="D26:D39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2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2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2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2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2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2" x14ac:dyDescent="0.25">
      <c r="A32" s="33">
        <v>27</v>
      </c>
      <c r="B32" s="34">
        <v>46266</v>
      </c>
      <c r="C32" s="55">
        <v>46281</v>
      </c>
      <c r="D32" s="35">
        <f t="shared" si="5"/>
        <v>15</v>
      </c>
      <c r="E32" s="47" t="s">
        <v>101</v>
      </c>
      <c r="F32" s="48" t="s">
        <v>102</v>
      </c>
      <c r="G32" s="47" t="s">
        <v>23</v>
      </c>
      <c r="H32" s="48" t="s">
        <v>24</v>
      </c>
      <c r="I32" s="47" t="s">
        <v>25</v>
      </c>
      <c r="J32" s="47" t="s">
        <v>25</v>
      </c>
      <c r="K32" s="47" t="s">
        <v>101</v>
      </c>
      <c r="L32" s="47">
        <v>-2000</v>
      </c>
      <c r="M32" s="47">
        <v>50.685000000000002</v>
      </c>
      <c r="N32" s="47" t="s">
        <v>72</v>
      </c>
      <c r="O32" s="47">
        <v>49.76</v>
      </c>
      <c r="P32" s="49">
        <v>99520</v>
      </c>
      <c r="Q32" s="47">
        <v>7.88</v>
      </c>
      <c r="R32" s="47" t="s">
        <v>72</v>
      </c>
      <c r="S32" s="50" t="s">
        <v>72</v>
      </c>
      <c r="T32" s="47" t="s">
        <v>72</v>
      </c>
      <c r="U32" s="49" t="s">
        <v>72</v>
      </c>
      <c r="V32" s="33">
        <v>3600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55">
        <v>46281</v>
      </c>
      <c r="D36" s="35">
        <f t="shared" si="5"/>
        <v>6</v>
      </c>
      <c r="E36" s="47" t="s">
        <v>56</v>
      </c>
      <c r="F36" s="48" t="s">
        <v>585</v>
      </c>
      <c r="G36" s="47" t="s">
        <v>23</v>
      </c>
      <c r="H36" s="48" t="s">
        <v>24</v>
      </c>
      <c r="I36" s="47" t="s">
        <v>25</v>
      </c>
      <c r="J36" s="47" t="s">
        <v>25</v>
      </c>
      <c r="K36" s="47" t="s">
        <v>56</v>
      </c>
      <c r="L36" s="47">
        <v>-280</v>
      </c>
      <c r="M36" s="47">
        <v>674.59</v>
      </c>
      <c r="N36" s="47" t="s">
        <v>72</v>
      </c>
      <c r="O36" s="47">
        <v>673.31</v>
      </c>
      <c r="P36" s="49">
        <v>188496</v>
      </c>
      <c r="Q36" s="47">
        <v>4.5</v>
      </c>
      <c r="R36" s="47" t="s">
        <v>72</v>
      </c>
      <c r="S36" s="50" t="s">
        <v>72</v>
      </c>
      <c r="T36" s="47" t="s">
        <v>72</v>
      </c>
      <c r="U36" s="49" t="s">
        <v>72</v>
      </c>
      <c r="V36" s="33">
        <v>389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38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55">
        <v>46281</v>
      </c>
      <c r="D39" s="35">
        <f t="shared" si="5"/>
        <v>0</v>
      </c>
      <c r="E39" s="47" t="s">
        <v>591</v>
      </c>
      <c r="F39" s="48" t="s">
        <v>592</v>
      </c>
      <c r="G39" s="47" t="s">
        <v>23</v>
      </c>
      <c r="H39" s="48" t="s">
        <v>24</v>
      </c>
      <c r="I39" s="47" t="s">
        <v>48</v>
      </c>
      <c r="J39" s="47" t="s">
        <v>48</v>
      </c>
      <c r="K39" s="47" t="s">
        <v>591</v>
      </c>
      <c r="L39" s="47">
        <v>2000</v>
      </c>
      <c r="M39" s="47">
        <v>45.21</v>
      </c>
      <c r="N39" s="47" t="s">
        <v>72</v>
      </c>
      <c r="O39" s="47">
        <v>44.64</v>
      </c>
      <c r="P39" s="49">
        <v>88000</v>
      </c>
      <c r="Q39" s="47">
        <v>5.3</v>
      </c>
      <c r="R39" s="47" t="s">
        <v>72</v>
      </c>
      <c r="S39" s="50" t="s">
        <v>72</v>
      </c>
      <c r="T39" s="47" t="s">
        <v>72</v>
      </c>
      <c r="U39" s="49" t="s">
        <v>72</v>
      </c>
      <c r="V39" s="33">
        <v>-1100</v>
      </c>
    </row>
    <row r="40" spans="1:22" x14ac:dyDescent="0.25">
      <c r="F40" s="36"/>
      <c r="H40" s="36"/>
    </row>
    <row r="41" spans="1:22" x14ac:dyDescent="0.25">
      <c r="D41" s="52" t="s">
        <v>103</v>
      </c>
      <c r="E41" s="46">
        <f>AVERAGE(D2:D31)</f>
        <v>8.5333333333333332</v>
      </c>
      <c r="F41" s="36"/>
      <c r="H41" s="36"/>
      <c r="U41" s="39">
        <f>SUM(U2:U39)</f>
        <v>72181.47</v>
      </c>
      <c r="V41" s="39">
        <f>SUM(V2:V39)</f>
        <v>2889</v>
      </c>
    </row>
    <row r="42" spans="1:22" x14ac:dyDescent="0.25">
      <c r="D42" s="52" t="s">
        <v>104</v>
      </c>
      <c r="E42" s="46">
        <f>AVERAGE(D2:D11,D13,D15:D31)</f>
        <v>5</v>
      </c>
      <c r="F42" s="36"/>
      <c r="U42" s="53" t="s">
        <v>105</v>
      </c>
      <c r="V42" s="36" t="s">
        <v>106</v>
      </c>
    </row>
    <row r="43" spans="1:22" x14ac:dyDescent="0.25">
      <c r="F43" s="36"/>
      <c r="U43" s="33" t="s">
        <v>107</v>
      </c>
    </row>
    <row r="44" spans="1:22" x14ac:dyDescent="0.25">
      <c r="F44" s="36"/>
      <c r="U44" s="39">
        <f>U41+V41</f>
        <v>75070.47</v>
      </c>
    </row>
    <row r="45" spans="1:22" x14ac:dyDescent="0.25">
      <c r="F45" s="36"/>
    </row>
    <row r="46" spans="1:22" x14ac:dyDescent="0.25">
      <c r="F46" s="36"/>
      <c r="U46" s="36" t="s">
        <v>108</v>
      </c>
    </row>
    <row r="47" spans="1:22" x14ac:dyDescent="0.25">
      <c r="F47" s="36"/>
      <c r="U47" s="39">
        <v>333000</v>
      </c>
    </row>
    <row r="49" spans="21:21" x14ac:dyDescent="0.25">
      <c r="U49" s="33" t="s">
        <v>109</v>
      </c>
    </row>
    <row r="50" spans="21:21" x14ac:dyDescent="0.25">
      <c r="U50" s="54">
        <f>U44/U47</f>
        <v>0.22543684684684684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1"/>
  <sheetViews>
    <sheetView topLeftCell="A44" zoomScale="200" zoomScaleNormal="200" workbookViewId="0">
      <selection activeCell="F72" sqref="F72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1" si="0">B4-B3</f>
        <v>6713.6600000000326</v>
      </c>
      <c r="D4" s="23">
        <f t="shared" ref="D4:D71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AVERAGE(C3:C71)</f>
        <v>1137.0013043478257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_xlfn.STDEV.S(C3:C71)</f>
        <v>4334.0271391583974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4.1645646347907652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_xlfn.STDEV.S(D2:D71)*SQRT(252)</f>
        <v>0.18779508191267738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PRODUCT(1+D2:D71)-1</f>
        <v>0.23527294380544328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PRODUCT(1+D2:D71)^(252/COUNT(D2:D71))-1</f>
        <v>1.1396687558113086</v>
      </c>
    </row>
    <row r="71" spans="1:7" x14ac:dyDescent="0.2">
      <c r="A71" s="26">
        <v>46281</v>
      </c>
      <c r="B71" s="5">
        <f>B70+5800</f>
        <v>411909</v>
      </c>
      <c r="C71" s="5">
        <f t="shared" si="0"/>
        <v>5800</v>
      </c>
      <c r="D71" s="23">
        <f t="shared" si="1"/>
        <v>1.4281879987885026E-2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36" activePane="bottomLeft" state="frozen"/>
      <selection pane="bottomLeft" activeCell="Q73" sqref="Q73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78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>I75/L75</f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3">C76/L76</f>
        <v>0.74552793389077099</v>
      </c>
      <c r="N76" s="15">
        <f t="shared" ref="N76" si="4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>I76/L76</f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5">C77/L77</f>
        <v>0.96410569576148275</v>
      </c>
      <c r="N77" s="15">
        <f t="shared" ref="N77" si="6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>I77/L77</f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7">C78/L78</f>
        <v>0.69910359508615727</v>
      </c>
      <c r="N78" s="15">
        <f t="shared" ref="N78" si="8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>I78/L78</f>
        <v>0</v>
      </c>
      <c r="T78" s="16">
        <v>0</v>
      </c>
      <c r="U78" s="16">
        <f>K78/L78</f>
        <v>0.21360312054740654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2026-09-16T20:22:27Z</dcterms:modified>
  <cp:category/>
  <cp:contentStatus/>
</cp:coreProperties>
</file>