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771530F0-72D7-BF4E-B20B-DEC5FE203267}" xr6:coauthVersionLast="47" xr6:coauthVersionMax="47" xr10:uidLastSave="{00000000-0000-0000-0000-000000000000}"/>
  <bookViews>
    <workbookView xWindow="1980" yWindow="-20900" windowWidth="44300" windowHeight="1926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00" i="7" l="1"/>
  <c r="V100" i="7"/>
  <c r="T100" i="7"/>
  <c r="Q100" i="7"/>
  <c r="P100" i="7"/>
  <c r="O100" i="7"/>
  <c r="N100" i="7"/>
  <c r="M100" i="7"/>
  <c r="D100" i="7"/>
  <c r="G79" i="3" a="1"/>
  <c r="G79" i="3" s="1"/>
  <c r="G78" i="3" a="1"/>
  <c r="G78" i="3" s="1"/>
  <c r="G77" i="3"/>
  <c r="G75" i="3"/>
  <c r="G74" i="3"/>
  <c r="D93" i="3"/>
  <c r="C93" i="3"/>
  <c r="B93" i="3"/>
  <c r="W70" i="1"/>
  <c r="D99" i="7"/>
  <c r="M99" i="7" s="1"/>
  <c r="O99" i="7" s="1"/>
  <c r="E71" i="1"/>
  <c r="E70" i="1"/>
  <c r="D67" i="1"/>
  <c r="D66" i="1"/>
  <c r="D65" i="1"/>
  <c r="D64" i="1"/>
  <c r="S63" i="1"/>
  <c r="S62" i="1"/>
  <c r="T59" i="1"/>
  <c r="S59" i="1"/>
  <c r="D92" i="3"/>
  <c r="C92" i="3"/>
  <c r="B92" i="3"/>
  <c r="D98" i="7"/>
  <c r="W97" i="7"/>
  <c r="V97" i="7"/>
  <c r="T97" i="7"/>
  <c r="S97" i="7"/>
  <c r="Q97" i="7"/>
  <c r="P97" i="7"/>
  <c r="O97" i="7"/>
  <c r="N97" i="7"/>
  <c r="M97" i="7"/>
  <c r="D97" i="7"/>
  <c r="P62" i="1"/>
  <c r="D91" i="3"/>
  <c r="C91" i="3"/>
  <c r="B91" i="3"/>
  <c r="D90" i="3"/>
  <c r="C90" i="3"/>
  <c r="B90" i="3"/>
  <c r="W96" i="7"/>
  <c r="V96" i="7"/>
  <c r="T96" i="7"/>
  <c r="S96" i="7"/>
  <c r="Q96" i="7"/>
  <c r="P96" i="7"/>
  <c r="O96" i="7"/>
  <c r="N96" i="7"/>
  <c r="M96" i="7"/>
  <c r="D96" i="7"/>
  <c r="D95" i="7"/>
  <c r="D89" i="3"/>
  <c r="C89" i="3"/>
  <c r="B89" i="3"/>
  <c r="D88" i="3"/>
  <c r="C88" i="3"/>
  <c r="B88" i="3"/>
  <c r="S47" i="1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U70" i="1"/>
  <c r="S61" i="1"/>
  <c r="P61" i="1"/>
  <c r="P60" i="1"/>
  <c r="D61" i="1"/>
  <c r="D86" i="3"/>
  <c r="C86" i="3"/>
  <c r="B86" i="3"/>
  <c r="B85" i="3"/>
  <c r="V70" i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D59" i="1"/>
  <c r="D83" i="3"/>
  <c r="C83" i="3"/>
  <c r="B83" i="3"/>
  <c r="S52" i="1"/>
  <c r="N99" i="7" l="1"/>
  <c r="P99" i="7" s="1"/>
  <c r="Q99" i="7"/>
  <c r="T99" i="7"/>
  <c r="V99" i="7"/>
  <c r="W99" i="7"/>
  <c r="M98" i="7"/>
  <c r="M94" i="7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W98" i="7" l="1"/>
  <c r="V98" i="7"/>
  <c r="Q98" i="7"/>
  <c r="P98" i="7"/>
  <c r="N98" i="7"/>
  <c r="T98" i="7"/>
  <c r="S98" i="7"/>
  <c r="O98" i="7"/>
  <c r="P94" i="7"/>
  <c r="W94" i="7"/>
  <c r="V94" i="7"/>
  <c r="T94" i="7"/>
  <c r="S94" i="7"/>
  <c r="Q94" i="7"/>
  <c r="N94" i="7"/>
  <c r="O94" i="7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73" i="1"/>
  <c r="U79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<sst xmlns="http://schemas.openxmlformats.org/spreadsheetml/2006/main" count="998" uniqueCount="642">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</sst>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9"/>
  <sheetViews>
    <sheetView tabSelected="1" zoomScaleNormal="100" workbookViewId="0">
      <pane ySplit="1" topLeftCell="A49" activePane="bottomLeft" state="frozen"/>
      <selection activeCell="D1" sqref="D1"/>
      <selection pane="bottomLeft" activeCell="G73" sqref="G73"/>
    </sheetView>
  </sheetViews>
  <sheetFormatPr baseColWidth="10" defaultColWidth="9.1640625" defaultRowHeight="21" x14ac:dyDescent="0.25"/>
  <cols>
    <col min="1" max="1" width="10.5" style="33" bestFit="1" customWidth="1"/>
    <col min="2" max="3" width="14" style="50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23" width="6" style="33" bestFit="1" customWidth="1"/>
    <col min="24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1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1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1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1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1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1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1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1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1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1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1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1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1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1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1" x14ac:dyDescent="0.25">
      <c r="A47" s="33">
        <v>42</v>
      </c>
      <c r="B47" s="34">
        <v>46288</v>
      </c>
      <c r="C47" s="34">
        <v>46303</v>
      </c>
      <c r="D47" s="35">
        <f t="shared" si="5"/>
        <v>15</v>
      </c>
      <c r="E47" s="33" t="s">
        <v>605</v>
      </c>
      <c r="F47" s="36" t="s">
        <v>606</v>
      </c>
      <c r="G47" s="33" t="s">
        <v>23</v>
      </c>
      <c r="H47" s="36" t="s">
        <v>24</v>
      </c>
      <c r="I47" s="33" t="s">
        <v>25</v>
      </c>
      <c r="J47" s="33" t="s">
        <v>25</v>
      </c>
      <c r="K47" s="33" t="s">
        <v>605</v>
      </c>
      <c r="L47" s="33">
        <v>-600</v>
      </c>
      <c r="M47" s="33">
        <v>268.09100000000001</v>
      </c>
      <c r="N47" s="33">
        <v>262.3</v>
      </c>
      <c r="O47" s="33">
        <v>262.3</v>
      </c>
      <c r="P47" s="39">
        <f>ABS(O47*L47)</f>
        <v>157380</v>
      </c>
      <c r="Q47" s="33">
        <v>10.1</v>
      </c>
      <c r="R47" s="33">
        <v>1</v>
      </c>
      <c r="S47" s="40">
        <f t="shared" si="8"/>
        <v>2.1600874329984955E-2</v>
      </c>
      <c r="T47" s="39">
        <v>3476</v>
      </c>
      <c r="U47" s="41">
        <v>3476</v>
      </c>
    </row>
    <row r="48" spans="1:21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3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34">
        <v>46310</v>
      </c>
      <c r="D59" s="35">
        <f t="shared" si="5"/>
        <v>13</v>
      </c>
      <c r="E59" s="33" t="s">
        <v>58</v>
      </c>
      <c r="F59" s="36" t="s">
        <v>59</v>
      </c>
      <c r="G59" s="33" t="s">
        <v>23</v>
      </c>
      <c r="H59" s="36" t="s">
        <v>24</v>
      </c>
      <c r="I59" s="33" t="s">
        <v>32</v>
      </c>
      <c r="J59" s="33" t="s">
        <v>531</v>
      </c>
      <c r="K59" s="33" t="s">
        <v>607</v>
      </c>
      <c r="L59" s="33">
        <v>15</v>
      </c>
      <c r="M59" s="33">
        <v>17.533999999999999</v>
      </c>
      <c r="N59" s="33">
        <v>17.913</v>
      </c>
      <c r="O59" s="33">
        <v>17.913</v>
      </c>
      <c r="P59" s="39">
        <v>26870</v>
      </c>
      <c r="Q59" s="33">
        <v>6.9</v>
      </c>
      <c r="R59" s="33">
        <v>1</v>
      </c>
      <c r="S59" s="40">
        <f t="shared" si="12"/>
        <v>2.1615147713014791E-2</v>
      </c>
      <c r="T59" s="39">
        <f>(26870-17905-8396)</f>
        <v>569</v>
      </c>
      <c r="U59" s="41">
        <v>569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34">
        <v>46310</v>
      </c>
      <c r="D62" s="35">
        <f t="shared" si="5"/>
        <v>7</v>
      </c>
      <c r="E62" s="33" t="s">
        <v>88</v>
      </c>
      <c r="F62" s="36" t="s">
        <v>52</v>
      </c>
      <c r="G62" s="33" t="s">
        <v>30</v>
      </c>
      <c r="H62" s="36" t="s">
        <v>630</v>
      </c>
      <c r="I62" s="33" t="s">
        <v>32</v>
      </c>
      <c r="J62" s="33" t="s">
        <v>122</v>
      </c>
      <c r="K62" s="33" t="s">
        <v>89</v>
      </c>
      <c r="L62" s="33">
        <v>5</v>
      </c>
      <c r="M62" s="33">
        <v>4155.68</v>
      </c>
      <c r="N62" s="33">
        <v>4185.5200000000004</v>
      </c>
      <c r="O62" s="33">
        <v>4185.5200000000004</v>
      </c>
      <c r="P62" s="39">
        <f>L62*O62*10</f>
        <v>209276.00000000003</v>
      </c>
      <c r="Q62" s="33">
        <v>9.6</v>
      </c>
      <c r="R62" s="33">
        <v>1</v>
      </c>
      <c r="S62" s="40">
        <f t="shared" si="12"/>
        <v>7.1805336310784623E-3</v>
      </c>
      <c r="T62" s="39">
        <v>1492</v>
      </c>
      <c r="U62" s="41">
        <v>1492</v>
      </c>
    </row>
    <row r="63" spans="1:22" x14ac:dyDescent="0.25">
      <c r="A63" s="33">
        <v>56</v>
      </c>
      <c r="B63" s="34">
        <v>46303</v>
      </c>
      <c r="C63" s="34">
        <v>46310</v>
      </c>
      <c r="D63" s="35">
        <f t="shared" ref="D63:D66" si="13">C63-B63</f>
        <v>7</v>
      </c>
      <c r="E63" s="33" t="s">
        <v>631</v>
      </c>
      <c r="F63" s="36" t="s">
        <v>632</v>
      </c>
      <c r="G63" s="33" t="s">
        <v>30</v>
      </c>
      <c r="H63" s="36" t="s">
        <v>630</v>
      </c>
      <c r="I63" s="33" t="s">
        <v>32</v>
      </c>
      <c r="J63" s="33" t="s">
        <v>122</v>
      </c>
      <c r="K63" s="33" t="s">
        <v>633</v>
      </c>
      <c r="L63" s="33">
        <v>-14</v>
      </c>
      <c r="M63" s="33">
        <v>6.6361999999999997</v>
      </c>
      <c r="N63" s="33">
        <v>6.5984999999999996</v>
      </c>
      <c r="O63" s="33">
        <v>6.5984999999999996</v>
      </c>
      <c r="P63" s="39">
        <v>232267</v>
      </c>
      <c r="Q63" s="33">
        <v>26.88</v>
      </c>
      <c r="R63" s="33">
        <v>1</v>
      </c>
      <c r="S63" s="40">
        <f t="shared" si="12"/>
        <v>5.6809619963232071E-3</v>
      </c>
      <c r="T63" s="39">
        <v>1318</v>
      </c>
      <c r="U63" s="41">
        <v>1318</v>
      </c>
    </row>
    <row r="64" spans="1:22" x14ac:dyDescent="0.25">
      <c r="A64" s="33">
        <v>57</v>
      </c>
      <c r="B64" s="34">
        <v>46310</v>
      </c>
      <c r="C64" s="54">
        <v>46311</v>
      </c>
      <c r="D64" s="55">
        <f t="shared" si="13"/>
        <v>1</v>
      </c>
      <c r="E64" s="47" t="s">
        <v>634</v>
      </c>
      <c r="F64" s="48" t="s">
        <v>635</v>
      </c>
      <c r="G64" s="47" t="s">
        <v>23</v>
      </c>
      <c r="H64" s="48" t="s">
        <v>24</v>
      </c>
      <c r="I64" s="47" t="s">
        <v>25</v>
      </c>
      <c r="J64" s="47" t="s">
        <v>25</v>
      </c>
      <c r="K64" s="47" t="s">
        <v>634</v>
      </c>
      <c r="L64" s="47">
        <v>1220</v>
      </c>
      <c r="M64" s="47">
        <v>7.74</v>
      </c>
      <c r="N64" s="47" t="s">
        <v>72</v>
      </c>
      <c r="O64" s="47">
        <v>7.91</v>
      </c>
      <c r="P64" s="49">
        <v>4984</v>
      </c>
      <c r="Q64" s="47">
        <v>1.01</v>
      </c>
      <c r="R64" s="47" t="s">
        <v>72</v>
      </c>
      <c r="S64" s="47" t="s">
        <v>72</v>
      </c>
      <c r="T64" s="47" t="s">
        <v>72</v>
      </c>
      <c r="U64" s="47" t="s">
        <v>72</v>
      </c>
      <c r="V64" s="33">
        <v>243</v>
      </c>
    </row>
    <row r="65" spans="1:24" x14ac:dyDescent="0.25">
      <c r="A65" s="33">
        <v>58</v>
      </c>
      <c r="B65" s="34">
        <v>46310</v>
      </c>
      <c r="C65" s="54">
        <v>46311</v>
      </c>
      <c r="D65" s="55">
        <f t="shared" si="13"/>
        <v>1</v>
      </c>
      <c r="E65" s="47" t="s">
        <v>636</v>
      </c>
      <c r="F65" s="48" t="s">
        <v>637</v>
      </c>
      <c r="G65" s="47" t="s">
        <v>23</v>
      </c>
      <c r="H65" s="48" t="s">
        <v>24</v>
      </c>
      <c r="I65" s="47" t="s">
        <v>25</v>
      </c>
      <c r="J65" s="47" t="s">
        <v>25</v>
      </c>
      <c r="K65" s="47" t="s">
        <v>636</v>
      </c>
      <c r="L65" s="47">
        <v>-504</v>
      </c>
      <c r="M65" s="47">
        <v>28.216999999999999</v>
      </c>
      <c r="N65" s="47" t="s">
        <v>72</v>
      </c>
      <c r="O65" s="47">
        <v>28.12</v>
      </c>
      <c r="P65" s="49">
        <v>14041</v>
      </c>
      <c r="Q65" s="47">
        <v>2.33</v>
      </c>
      <c r="R65" s="47" t="s">
        <v>72</v>
      </c>
      <c r="S65" s="47" t="s">
        <v>72</v>
      </c>
      <c r="T65" s="47" t="s">
        <v>72</v>
      </c>
      <c r="U65" s="47" t="s">
        <v>72</v>
      </c>
      <c r="V65" s="33">
        <v>49</v>
      </c>
    </row>
    <row r="66" spans="1:24" x14ac:dyDescent="0.25">
      <c r="A66" s="33">
        <v>59</v>
      </c>
      <c r="B66" s="34">
        <v>46310</v>
      </c>
      <c r="C66" s="54">
        <v>46311</v>
      </c>
      <c r="D66" s="55">
        <f t="shared" si="13"/>
        <v>1</v>
      </c>
      <c r="E66" s="47" t="s">
        <v>638</v>
      </c>
      <c r="F66" s="48" t="s">
        <v>639</v>
      </c>
      <c r="G66" s="47" t="s">
        <v>23</v>
      </c>
      <c r="H66" s="48" t="s">
        <v>24</v>
      </c>
      <c r="I66" s="47" t="s">
        <v>25</v>
      </c>
      <c r="J66" s="47" t="s">
        <v>25</v>
      </c>
      <c r="K66" s="47" t="s">
        <v>638</v>
      </c>
      <c r="L66" s="47">
        <v>-1956</v>
      </c>
      <c r="M66" s="47">
        <v>46.65</v>
      </c>
      <c r="N66" s="47" t="s">
        <v>72</v>
      </c>
      <c r="O66" s="47">
        <v>46.5</v>
      </c>
      <c r="P66" s="49">
        <v>90954</v>
      </c>
      <c r="Q66" s="47">
        <v>4.32</v>
      </c>
      <c r="R66" s="47" t="s">
        <v>72</v>
      </c>
      <c r="S66" s="47" t="s">
        <v>72</v>
      </c>
      <c r="T66" s="47" t="s">
        <v>72</v>
      </c>
      <c r="U66" s="47" t="s">
        <v>72</v>
      </c>
      <c r="V66" s="33">
        <v>303</v>
      </c>
    </row>
    <row r="67" spans="1:24" x14ac:dyDescent="0.25">
      <c r="A67" s="33">
        <v>60</v>
      </c>
      <c r="B67" s="34">
        <v>46310</v>
      </c>
      <c r="C67" s="54">
        <v>46311</v>
      </c>
      <c r="D67" s="55">
        <f t="shared" ref="D67" si="14">C67-B67</f>
        <v>1</v>
      </c>
      <c r="E67" s="47" t="s">
        <v>640</v>
      </c>
      <c r="F67" s="48" t="s">
        <v>641</v>
      </c>
      <c r="G67" s="47" t="s">
        <v>23</v>
      </c>
      <c r="H67" s="48" t="s">
        <v>24</v>
      </c>
      <c r="I67" s="47" t="s">
        <v>25</v>
      </c>
      <c r="J67" s="47" t="s">
        <v>25</v>
      </c>
      <c r="K67" s="47" t="s">
        <v>640</v>
      </c>
      <c r="L67" s="47">
        <v>-310</v>
      </c>
      <c r="M67" s="47">
        <v>388.43</v>
      </c>
      <c r="N67" s="47" t="s">
        <v>72</v>
      </c>
      <c r="O67" s="47">
        <v>384.22</v>
      </c>
      <c r="P67" s="49">
        <v>115266</v>
      </c>
      <c r="Q67" s="47">
        <v>3.66</v>
      </c>
      <c r="R67" s="47" t="s">
        <v>72</v>
      </c>
      <c r="S67" s="47" t="s">
        <v>72</v>
      </c>
      <c r="T67" s="47" t="s">
        <v>72</v>
      </c>
      <c r="U67" s="47" t="s">
        <v>72</v>
      </c>
      <c r="V67" s="33">
        <v>1265</v>
      </c>
    </row>
    <row r="68" spans="1:24" x14ac:dyDescent="0.25">
      <c r="B68" s="34"/>
      <c r="C68" s="34"/>
      <c r="D68" s="35"/>
      <c r="F68" s="36"/>
      <c r="H68" s="36"/>
      <c r="P68" s="39"/>
      <c r="S68" s="40"/>
      <c r="T68" s="39"/>
      <c r="U68" s="41"/>
    </row>
    <row r="69" spans="1:24" x14ac:dyDescent="0.25">
      <c r="F69" s="36"/>
      <c r="H69" s="36"/>
    </row>
    <row r="70" spans="1:24" x14ac:dyDescent="0.25">
      <c r="D70" s="51" t="s">
        <v>102</v>
      </c>
      <c r="E70" s="46">
        <f>AVERAGE(D2:D63)</f>
        <v>6.4838709677419351</v>
      </c>
      <c r="F70" s="36"/>
      <c r="H70" s="36"/>
      <c r="U70" s="39">
        <f>SUM(U2:U68)</f>
        <v>88002.47</v>
      </c>
      <c r="V70" s="39">
        <f>SUM(V2:V68)</f>
        <v>1860</v>
      </c>
      <c r="W70" s="39">
        <f>SUM(W2:W68)</f>
        <v>0</v>
      </c>
      <c r="X70" s="39"/>
    </row>
    <row r="71" spans="1:24" x14ac:dyDescent="0.25">
      <c r="D71" s="51" t="s">
        <v>103</v>
      </c>
      <c r="E71" s="46">
        <f>AVERAGE(D2:D11,D13,D15:D63)</f>
        <v>4.7666666666666666</v>
      </c>
      <c r="F71" s="36"/>
      <c r="U71" s="52" t="s">
        <v>104</v>
      </c>
      <c r="V71" s="36" t="s">
        <v>105</v>
      </c>
    </row>
    <row r="72" spans="1:24" x14ac:dyDescent="0.25">
      <c r="F72" s="36"/>
      <c r="U72" s="33" t="s">
        <v>106</v>
      </c>
    </row>
    <row r="73" spans="1:24" x14ac:dyDescent="0.25">
      <c r="F73" s="36"/>
      <c r="U73" s="39">
        <f>U70+V70</f>
        <v>89862.47</v>
      </c>
    </row>
    <row r="74" spans="1:24" x14ac:dyDescent="0.25">
      <c r="F74" s="36"/>
    </row>
    <row r="75" spans="1:24" x14ac:dyDescent="0.25">
      <c r="F75" s="36"/>
      <c r="U75" s="36" t="s">
        <v>107</v>
      </c>
    </row>
    <row r="76" spans="1:24" x14ac:dyDescent="0.25">
      <c r="F76" s="36"/>
      <c r="U76" s="39">
        <v>333000</v>
      </c>
    </row>
    <row r="78" spans="1:24" x14ac:dyDescent="0.25">
      <c r="U78" s="33" t="s">
        <v>108</v>
      </c>
    </row>
    <row r="79" spans="1:24" x14ac:dyDescent="0.25">
      <c r="U79" s="53">
        <f>U73/U76</f>
        <v>0.26985726726726728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3"/>
  <sheetViews>
    <sheetView topLeftCell="A73" zoomScale="200" zoomScaleNormal="200" workbookViewId="0">
      <selection activeCell="C86" sqref="C86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3" si="0">B4-B3</f>
        <v>6713.6600000000326</v>
      </c>
      <c r="D4" s="23">
        <f t="shared" ref="D4:D93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AVERAGE(C3:C93)</f>
        <v>1001.8361538461535</v>
      </c>
      <c r="I74" s="27">
        <v>994.70099999999968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_xlfn.STDEV.S(C3:C93)</f>
        <v>4041.8271217339247</v>
      </c>
      <c r="I75" s="27">
        <v>4063.8942233804319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3.934768961181994</v>
      </c>
      <c r="I76" s="28">
        <v>3.8855314585596612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_xlfn.STDEV.S(D2:D93)*SQRT(252)</f>
        <v>0.17298853160364927</v>
      </c>
      <c r="I77" s="29">
        <v>0.17393524693700121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PRODUCT(1+D3:D93)-1</f>
        <v>0.27340092888841583</v>
      </c>
      <c r="I78" s="29">
        <v>0.26847074110515279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PRODUCT(1+D2:D93)^(252/COUNT(D2:D93))-1</f>
        <v>0.93871187618965823</v>
      </c>
      <c r="I79" s="29">
        <v>0.93200128707868957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76"/>
  <sheetViews>
    <sheetView zoomScaleNormal="100" workbookViewId="0">
      <pane ySplit="1" topLeftCell="A89" activePane="bottomLeft" state="frozen"/>
      <selection pane="bottomLeft" activeCell="K101" sqref="K10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100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 t="shared" ref="Q91:Q96" si="56">E91/M91</f>
        <v>0.74553540418252784</v>
      </c>
      <c r="R91" s="15">
        <v>0</v>
      </c>
      <c r="S91" s="15">
        <f t="shared" ref="S91" si="57">H91/M91</f>
        <v>9.3642640383097032E-3</v>
      </c>
      <c r="T91" s="15">
        <f t="shared" ref="T91" si="58">I91/M91</f>
        <v>0</v>
      </c>
      <c r="U91" s="15">
        <v>0</v>
      </c>
      <c r="V91" s="16">
        <f t="shared" ref="V91" si="59">K91/M91</f>
        <v>0</v>
      </c>
      <c r="W91" s="15">
        <f t="shared" ref="W91" si="60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1">C92/M92</f>
        <v>0.3929790871637609</v>
      </c>
      <c r="O92" s="15">
        <f t="shared" ref="O92" si="62">D92/M92</f>
        <v>0.56376480039973942</v>
      </c>
      <c r="P92" s="15">
        <v>0</v>
      </c>
      <c r="Q92" s="15">
        <f t="shared" si="56"/>
        <v>0</v>
      </c>
      <c r="R92" s="15">
        <v>0</v>
      </c>
      <c r="S92" s="15">
        <f t="shared" ref="S92" si="63">H92/M92</f>
        <v>4.3256112436499732E-2</v>
      </c>
      <c r="T92" s="15">
        <f t="shared" ref="T92" si="64">I92/M92</f>
        <v>0</v>
      </c>
      <c r="U92" s="15">
        <v>0</v>
      </c>
      <c r="V92" s="16">
        <f t="shared" ref="V92" si="65">K92/M92</f>
        <v>0</v>
      </c>
      <c r="W92" s="15">
        <f t="shared" ref="W92" si="66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7">C93/M93</f>
        <v>7.0369192644656187E-2</v>
      </c>
      <c r="O93" s="15">
        <f t="shared" ref="O93" si="68">D93/M93</f>
        <v>0</v>
      </c>
      <c r="P93" s="15">
        <v>0</v>
      </c>
      <c r="Q93" s="15">
        <f t="shared" si="56"/>
        <v>0.92188510838934634</v>
      </c>
      <c r="R93" s="15">
        <v>0</v>
      </c>
      <c r="S93" s="15">
        <f t="shared" ref="S93" si="69">H93/M93</f>
        <v>7.7456989659974345E-3</v>
      </c>
      <c r="T93" s="15">
        <f t="shared" ref="T93" si="70">I93/M93</f>
        <v>0</v>
      </c>
      <c r="U93" s="15">
        <v>0</v>
      </c>
      <c r="V93" s="16">
        <f t="shared" ref="V93" si="71">K93/M93</f>
        <v>0</v>
      </c>
      <c r="W93" s="15">
        <f t="shared" ref="W93" si="72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 t="shared" ref="D94:D100" si="73"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4">C94/M94</f>
        <v>0.38197726325813941</v>
      </c>
      <c r="O94" s="15">
        <f t="shared" ref="O94" si="75">D94/M94</f>
        <v>0.18269388726861496</v>
      </c>
      <c r="P94" s="15">
        <f>F94/M94</f>
        <v>0.39328373311112436</v>
      </c>
      <c r="Q94" s="15">
        <f t="shared" si="56"/>
        <v>0</v>
      </c>
      <c r="R94" s="15">
        <v>0</v>
      </c>
      <c r="S94" s="15">
        <f t="shared" ref="S94" si="76">H94/M94</f>
        <v>4.2045116362121306E-2</v>
      </c>
      <c r="T94" s="15">
        <f t="shared" ref="T94" si="77">I94/M94</f>
        <v>0</v>
      </c>
      <c r="U94" s="15">
        <v>0</v>
      </c>
      <c r="V94" s="16">
        <f t="shared" ref="V94" si="78">K94/M94</f>
        <v>0</v>
      </c>
      <c r="W94" s="15">
        <f t="shared" ref="W94" si="79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80">C95/M95</f>
        <v>0</v>
      </c>
      <c r="O95" s="15">
        <f t="shared" ref="O95" si="81">D95/M95</f>
        <v>0.56427071840319898</v>
      </c>
      <c r="P95" s="15">
        <f>F95/M95</f>
        <v>0.39364549052876402</v>
      </c>
      <c r="Q95" s="15">
        <f t="shared" si="56"/>
        <v>0</v>
      </c>
      <c r="R95" s="15">
        <v>0</v>
      </c>
      <c r="S95" s="15">
        <f t="shared" ref="S95" si="82">H95/M95</f>
        <v>4.2083791068037051E-2</v>
      </c>
      <c r="T95" s="15">
        <f t="shared" ref="T95" si="83">I95/M95</f>
        <v>0</v>
      </c>
      <c r="U95" s="15">
        <v>0</v>
      </c>
      <c r="V95" s="16">
        <f t="shared" ref="V95" si="84">K95/M95</f>
        <v>0</v>
      </c>
      <c r="W95" s="15">
        <f t="shared" ref="W95" si="85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6">C96/M96</f>
        <v>0</v>
      </c>
      <c r="O96" s="15">
        <f t="shared" ref="O96" si="87">D96/M96</f>
        <v>0.54257184491531496</v>
      </c>
      <c r="P96" s="15">
        <f>F96/M96</f>
        <v>0.39461312438785506</v>
      </c>
      <c r="Q96" s="15">
        <f t="shared" si="56"/>
        <v>0</v>
      </c>
      <c r="R96" s="15">
        <v>0</v>
      </c>
      <c r="S96" s="15">
        <f t="shared" ref="S96" si="88">H96/M96</f>
        <v>6.281503069682999E-2</v>
      </c>
      <c r="T96" s="15">
        <f t="shared" ref="T96" si="89">I96/M96</f>
        <v>0</v>
      </c>
      <c r="U96" s="15">
        <v>0</v>
      </c>
      <c r="V96" s="16">
        <f t="shared" ref="V96" si="90">K96/M96</f>
        <v>0</v>
      </c>
      <c r="W96" s="15">
        <f t="shared" ref="W96" si="91">L96/M96</f>
        <v>0</v>
      </c>
    </row>
    <row r="97" spans="1:23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8">
        <v>0</v>
      </c>
      <c r="M97" s="14">
        <f t="shared" si="0"/>
        <v>418740</v>
      </c>
      <c r="N97" s="15">
        <f t="shared" ref="N97" si="92">C97/M97</f>
        <v>0</v>
      </c>
      <c r="O97" s="15">
        <f t="shared" ref="O97" si="93">D97/M97</f>
        <v>0.54271385585327414</v>
      </c>
      <c r="P97" s="15">
        <f>F97/M97</f>
        <v>0.39449061470124658</v>
      </c>
      <c r="Q97" s="15">
        <f t="shared" ref="Q97" si="94">E97/M97</f>
        <v>0</v>
      </c>
      <c r="R97" s="15">
        <v>0</v>
      </c>
      <c r="S97" s="15">
        <f t="shared" ref="S97" si="95">H97/M97</f>
        <v>6.2795529445479295E-2</v>
      </c>
      <c r="T97" s="15">
        <f t="shared" ref="T97" si="96">I97/M97</f>
        <v>0</v>
      </c>
      <c r="U97" s="15">
        <v>0</v>
      </c>
      <c r="V97" s="16">
        <f t="shared" ref="V97" si="97">K97/M97</f>
        <v>0</v>
      </c>
      <c r="W97" s="15">
        <f t="shared" ref="W97" si="98">L97/M97</f>
        <v>0</v>
      </c>
    </row>
    <row r="98" spans="1:23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8">
        <v>0</v>
      </c>
      <c r="M98" s="14">
        <f t="shared" si="0"/>
        <v>421826</v>
      </c>
      <c r="N98" s="15">
        <f t="shared" ref="N98" si="99">C98/M98</f>
        <v>0</v>
      </c>
      <c r="O98" s="15">
        <f t="shared" ref="O98:O99" si="100">D98/M98</f>
        <v>0.32961695106513111</v>
      </c>
      <c r="P98" s="15">
        <f>F98/M98</f>
        <v>0.60804691982002057</v>
      </c>
      <c r="Q98" s="15">
        <f t="shared" ref="Q98" si="101">E98/M98</f>
        <v>0</v>
      </c>
      <c r="R98" s="15">
        <v>0</v>
      </c>
      <c r="S98" s="15">
        <f t="shared" ref="S98" si="102">H98/M98</f>
        <v>6.2336129114848302E-2</v>
      </c>
      <c r="T98" s="15">
        <f t="shared" ref="T98" si="103">I98/M98</f>
        <v>0</v>
      </c>
      <c r="U98" s="15">
        <v>0</v>
      </c>
      <c r="V98" s="16">
        <f t="shared" ref="V98" si="104">K98/M98</f>
        <v>0</v>
      </c>
      <c r="W98" s="15">
        <f t="shared" ref="W98" si="105">L98/M98</f>
        <v>0</v>
      </c>
    </row>
    <row r="99" spans="1:23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8">
        <v>0</v>
      </c>
      <c r="M99" s="14">
        <f t="shared" si="0"/>
        <v>422979</v>
      </c>
      <c r="N99" s="15">
        <f t="shared" ref="N99" si="106">C99/M99</f>
        <v>0.33346099924582545</v>
      </c>
      <c r="O99" s="15">
        <f t="shared" si="100"/>
        <v>0.6665390007541746</v>
      </c>
      <c r="P99" s="15">
        <f t="shared" ref="P99" si="107">E99/N99</f>
        <v>0</v>
      </c>
      <c r="Q99" s="15">
        <f t="shared" ref="Q99" si="108">E99/M99</f>
        <v>0</v>
      </c>
      <c r="R99" s="15">
        <v>0</v>
      </c>
      <c r="S99" s="15">
        <v>0</v>
      </c>
      <c r="T99" s="15">
        <f t="shared" ref="T99" si="109">I99/M99</f>
        <v>0</v>
      </c>
      <c r="U99" s="15">
        <v>0</v>
      </c>
      <c r="V99" s="16">
        <f t="shared" ref="V99" si="110">K99/M99</f>
        <v>0</v>
      </c>
      <c r="W99" s="15">
        <f t="shared" ref="W99" si="111">L99/M99</f>
        <v>0</v>
      </c>
    </row>
    <row r="100" spans="1:23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8">
        <v>0</v>
      </c>
      <c r="M100" s="14">
        <f t="shared" si="0"/>
        <v>424623</v>
      </c>
      <c r="N100" s="15">
        <f t="shared" ref="N100" si="112">C100/M100</f>
        <v>0.5304587834384854</v>
      </c>
      <c r="O100" s="15">
        <f t="shared" ref="O100" si="113">D100/M100</f>
        <v>0.46954121656151454</v>
      </c>
      <c r="P100" s="15">
        <f t="shared" ref="P100" si="114">E100/N100</f>
        <v>0</v>
      </c>
      <c r="Q100" s="15">
        <f t="shared" ref="Q100" si="115">E100/M100</f>
        <v>0</v>
      </c>
      <c r="R100" s="15">
        <v>0</v>
      </c>
      <c r="S100" s="15">
        <v>0</v>
      </c>
      <c r="T100" s="15">
        <f t="shared" ref="T100" si="116">I100/M100</f>
        <v>0</v>
      </c>
      <c r="U100" s="15">
        <v>0</v>
      </c>
      <c r="V100" s="16">
        <f t="shared" ref="V100" si="117">K100/M100</f>
        <v>0</v>
      </c>
      <c r="W100" s="15">
        <f t="shared" ref="W100" si="118">L100/M100</f>
        <v>0</v>
      </c>
    </row>
    <row r="1048543" spans="1:1" x14ac:dyDescent="0.25">
      <c r="A1048543" s="10"/>
    </row>
    <row r="1048576" spans="1:1" x14ac:dyDescent="0.25">
      <c r="A1048576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2026-10-16T20:19:20Z</dcterms:modified>
  <cp:category/>
  <cp:contentStatus/>
</cp:coreProperties>
</file>