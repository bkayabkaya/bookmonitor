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5AC07741-326E-CE46-8544-A3275DB70914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4" i="7" l="1"/>
  <c r="S74" i="7"/>
  <c r="L74" i="7"/>
  <c r="N74" i="7" s="1"/>
  <c r="G70" i="3" a="1"/>
  <c r="G70" i="3" s="1"/>
  <c r="G69" i="3" a="1"/>
  <c r="G69" i="3" s="1"/>
  <c r="G68" i="3"/>
  <c r="G66" i="3"/>
  <c r="G65" i="3"/>
  <c r="D67" i="3"/>
  <c r="C67" i="3"/>
  <c r="B67" i="3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M74" i="7" l="1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U40" i="1"/>
  <c r="S31" i="1"/>
  <c r="N71" i="7" l="1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<sst xmlns="http://schemas.openxmlformats.org/spreadsheetml/2006/main" count="354" uniqueCount="149">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</sst>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tabSelected="1" zoomScale="110" zoomScaleNormal="110" workbookViewId="0">
      <pane ySplit="1" topLeftCell="A7" activePane="bottomLeft" state="frozen"/>
      <selection activeCell="D1" sqref="D1"/>
      <selection pane="bottomLeft" activeCell="F40" sqref="F40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46275</v>
      </c>
      <c r="D32" s="31">
        <f t="shared" si="5"/>
        <v>9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-3000</v>
      </c>
      <c r="M32" s="43">
        <v>50.25</v>
      </c>
      <c r="N32" s="43" t="s">
        <v>72</v>
      </c>
      <c r="O32" s="43">
        <v>49.97</v>
      </c>
      <c r="P32" s="45">
        <v>149745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865</v>
      </c>
    </row>
    <row r="33" spans="1:22" x14ac:dyDescent="0.25">
      <c r="A33" s="29">
        <v>28</v>
      </c>
      <c r="B33" s="30">
        <v>46274</v>
      </c>
      <c r="C33" s="51">
        <v>46275</v>
      </c>
      <c r="D33" s="31">
        <f t="shared" si="5"/>
        <v>1</v>
      </c>
      <c r="E33" s="43" t="s">
        <v>139</v>
      </c>
      <c r="F33" s="44" t="s">
        <v>140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139</v>
      </c>
      <c r="L33" s="43">
        <v>9000</v>
      </c>
      <c r="M33" s="43">
        <v>8.6980000000000004</v>
      </c>
      <c r="N33" s="43" t="s">
        <v>72</v>
      </c>
      <c r="O33" s="43">
        <v>8.82</v>
      </c>
      <c r="P33" s="45">
        <v>79470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v>1192</v>
      </c>
    </row>
    <row r="34" spans="1:22" x14ac:dyDescent="0.25">
      <c r="A34" s="29">
        <v>29</v>
      </c>
      <c r="B34" s="30">
        <v>46274</v>
      </c>
      <c r="C34" s="51">
        <v>46275</v>
      </c>
      <c r="D34" s="31">
        <f t="shared" si="5"/>
        <v>1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400</v>
      </c>
      <c r="M34" s="43">
        <v>318.87</v>
      </c>
      <c r="N34" s="43" t="s">
        <v>72</v>
      </c>
      <c r="O34" s="43">
        <v>317.44</v>
      </c>
      <c r="P34" s="45">
        <v>126488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-572</v>
      </c>
    </row>
    <row r="35" spans="1:22" x14ac:dyDescent="0.25">
      <c r="A35" s="29">
        <v>30</v>
      </c>
      <c r="B35" s="30">
        <v>46275</v>
      </c>
      <c r="C35" s="51">
        <v>46275</v>
      </c>
      <c r="D35" s="31">
        <f t="shared" si="5"/>
        <v>0</v>
      </c>
      <c r="E35" s="43" t="s">
        <v>141</v>
      </c>
      <c r="F35" s="44" t="s">
        <v>142</v>
      </c>
      <c r="G35" s="43" t="s">
        <v>23</v>
      </c>
      <c r="H35" s="44" t="s">
        <v>24</v>
      </c>
      <c r="I35" s="43" t="s">
        <v>32</v>
      </c>
      <c r="J35" s="43" t="s">
        <v>133</v>
      </c>
      <c r="K35" s="43" t="s">
        <v>141</v>
      </c>
      <c r="L35" s="43">
        <v>1</v>
      </c>
      <c r="M35" s="43">
        <v>52061.3</v>
      </c>
      <c r="N35" s="43" t="s">
        <v>72</v>
      </c>
      <c r="O35" s="43">
        <v>52095</v>
      </c>
      <c r="P35" s="45">
        <v>26031</v>
      </c>
      <c r="Q35" s="43">
        <v>3.11</v>
      </c>
      <c r="R35" s="43" t="s">
        <v>72</v>
      </c>
      <c r="S35" s="46" t="s">
        <v>72</v>
      </c>
      <c r="T35" s="43" t="s">
        <v>72</v>
      </c>
      <c r="U35" s="45" t="s">
        <v>72</v>
      </c>
      <c r="V35" s="29">
        <v>15</v>
      </c>
    </row>
    <row r="36" spans="1:22" x14ac:dyDescent="0.25">
      <c r="A36" s="29">
        <v>31</v>
      </c>
      <c r="B36" s="30">
        <v>46275</v>
      </c>
      <c r="C36" s="51">
        <v>46275</v>
      </c>
      <c r="D36" s="31">
        <f t="shared" si="5"/>
        <v>0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-50</v>
      </c>
      <c r="M36" s="43">
        <v>656.66</v>
      </c>
      <c r="N36" s="43" t="s">
        <v>72</v>
      </c>
      <c r="O36" s="43">
        <v>643.87</v>
      </c>
      <c r="P36" s="45">
        <v>32575</v>
      </c>
      <c r="Q36" s="43">
        <v>2.1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633</v>
      </c>
    </row>
    <row r="37" spans="1:22" x14ac:dyDescent="0.25">
      <c r="A37" s="29">
        <v>32</v>
      </c>
      <c r="B37" s="30">
        <v>46275</v>
      </c>
      <c r="C37" s="51">
        <v>46275</v>
      </c>
      <c r="D37" s="31">
        <f t="shared" si="5"/>
        <v>0</v>
      </c>
      <c r="E37" s="43" t="s">
        <v>144</v>
      </c>
      <c r="F37" s="44" t="s">
        <v>145</v>
      </c>
      <c r="G37" s="43" t="s">
        <v>23</v>
      </c>
      <c r="H37" s="44" t="s">
        <v>24</v>
      </c>
      <c r="I37" s="43" t="s">
        <v>25</v>
      </c>
      <c r="J37" s="43" t="s">
        <v>25</v>
      </c>
      <c r="K37" s="43" t="s">
        <v>144</v>
      </c>
      <c r="L37" s="43">
        <v>250</v>
      </c>
      <c r="M37" s="43">
        <v>113.7</v>
      </c>
      <c r="N37" s="43" t="s">
        <v>72</v>
      </c>
      <c r="O37" s="43">
        <v>114.47</v>
      </c>
      <c r="P37" s="45">
        <v>28435</v>
      </c>
      <c r="Q37" s="43">
        <v>1.6</v>
      </c>
      <c r="R37" s="43" t="s">
        <v>72</v>
      </c>
      <c r="S37" s="46" t="s">
        <v>72</v>
      </c>
      <c r="T37" s="43" t="s">
        <v>72</v>
      </c>
      <c r="U37" s="45" t="s">
        <v>72</v>
      </c>
      <c r="V37" s="29">
        <v>192</v>
      </c>
    </row>
    <row r="38" spans="1:22" x14ac:dyDescent="0.25">
      <c r="A38" s="29">
        <v>33</v>
      </c>
      <c r="B38" s="30">
        <v>46275</v>
      </c>
      <c r="C38" s="51">
        <v>46275</v>
      </c>
      <c r="D38" s="31">
        <f t="shared" si="5"/>
        <v>0</v>
      </c>
      <c r="E38" s="43" t="s">
        <v>146</v>
      </c>
      <c r="F38" s="44" t="s">
        <v>147</v>
      </c>
      <c r="G38" s="43" t="s">
        <v>23</v>
      </c>
      <c r="H38" s="44" t="s">
        <v>24</v>
      </c>
      <c r="I38" s="43" t="s">
        <v>32</v>
      </c>
      <c r="J38" s="43" t="s">
        <v>120</v>
      </c>
      <c r="K38" s="43" t="s">
        <v>146</v>
      </c>
      <c r="L38" s="43">
        <v>1</v>
      </c>
      <c r="M38" s="43">
        <v>120.35</v>
      </c>
      <c r="N38" s="43" t="s">
        <v>72</v>
      </c>
      <c r="O38" s="43">
        <v>120.36</v>
      </c>
      <c r="P38" s="45">
        <v>120370</v>
      </c>
      <c r="Q38" s="43">
        <v>3.6</v>
      </c>
      <c r="R38" s="43" t="s">
        <v>72</v>
      </c>
      <c r="S38" s="46" t="s">
        <v>72</v>
      </c>
      <c r="T38" s="43" t="s">
        <v>72</v>
      </c>
      <c r="U38" s="45" t="s">
        <v>72</v>
      </c>
      <c r="V38" s="29">
        <v>19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SUM(U2:U31)</f>
        <v>67975.47</v>
      </c>
      <c r="V40" s="35">
        <f>SUM(V2:V38)</f>
        <v>2344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70319.47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0.21116957957957957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E70" sqref="E70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7" si="0">B4-B3</f>
        <v>6713.6600000000326</v>
      </c>
      <c r="D4" s="19">
        <f t="shared" ref="D4:D67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AVERAGE(C3:C67)</f>
        <v>1203.5706153846149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_xlfn.STDEV.S(C3:C67)</f>
        <v>4360.5061175520677</v>
      </c>
    </row>
    <row r="67" spans="1:7" x14ac:dyDescent="0.2">
      <c r="A67" s="22">
        <v>46275</v>
      </c>
      <c r="B67" s="1">
        <f>B66+2330</f>
        <v>411688</v>
      </c>
      <c r="C67" s="1">
        <f t="shared" si="0"/>
        <v>2330</v>
      </c>
      <c r="D67" s="19">
        <f t="shared" si="1"/>
        <v>5.6918394168429592E-3</v>
      </c>
      <c r="F67" s="21" t="s">
        <v>116</v>
      </c>
      <c r="G67" s="24">
        <f>(G65/G66)*SQRT(252)</f>
        <v>4.3816223820371301</v>
      </c>
    </row>
    <row r="68" spans="1:7" x14ac:dyDescent="0.2">
      <c r="F68" s="21" t="s">
        <v>117</v>
      </c>
      <c r="G68" s="25">
        <f>_xlfn.STDEV.S(D2:D67)*SQRT(252)</f>
        <v>0.18975594310276095</v>
      </c>
    </row>
    <row r="69" spans="1:7" x14ac:dyDescent="0.2">
      <c r="F69" s="21" t="s">
        <v>118</v>
      </c>
      <c r="G69" s="25" cm="1">
        <f t="array" ref="G69">PRODUCT(1+D2:D67)-1</f>
        <v>0.23461018741852069</v>
      </c>
    </row>
    <row r="70" spans="1:7" x14ac:dyDescent="0.2">
      <c r="F70" s="21" t="s">
        <v>119</v>
      </c>
      <c r="G70" s="25" cm="1">
        <f t="array" ref="G70">PRODUCT(1+D2:D67)^(252/COUNT(D2:D66))-1</f>
        <v>1.2638842177316159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B74" sqref="B74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>SUM(C70:K70)</f>
        <v>408551</v>
      </c>
      <c r="M70" s="11">
        <f>C70/L70</f>
        <v>0.24736201845057287</v>
      </c>
      <c r="N70" s="11">
        <f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>SUM(C71:K71)</f>
        <v>408551</v>
      </c>
      <c r="M71" s="11">
        <f>C71/L71</f>
        <v>0.24736201845057287</v>
      </c>
      <c r="N71" s="11">
        <f>D71/L71</f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>SUM(C72:K72)</f>
        <v>408551</v>
      </c>
      <c r="M72" s="11">
        <f>C72/L72</f>
        <v>0.24736201845057287</v>
      </c>
      <c r="N72" s="11">
        <f>D72/L72</f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>SUM(C73:K73)</f>
        <v>409358</v>
      </c>
      <c r="M73" s="11">
        <f>C73/L73</f>
        <v>0.45189296410476892</v>
      </c>
      <c r="N73" s="11">
        <f>D73/L73</f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>SUM(C74:K74)</f>
        <v>563114</v>
      </c>
      <c r="M74" s="11">
        <f>C74/L74</f>
        <v>0.74001534325198803</v>
      </c>
      <c r="N74" s="11">
        <f>D74/L74</f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2026-09-10T21:15:53Z</dcterms:modified>
  <cp:category/>
  <cp:contentStatus/>
</cp:coreProperties>
</file>