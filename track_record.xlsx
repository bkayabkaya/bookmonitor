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6BDF7E76-69FC-9F46-8CA6-200DBCBF344B}" xr6:coauthVersionLast="47" xr6:coauthVersionMax="47" xr10:uidLastSave="{00000000-0000-0000-0000-000000000000}"/>
  <bookViews>
    <workbookView xWindow="-17220" yWindow="-42260" windowWidth="48520" windowHeight="3258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7" i="1" l="1"/>
  <c r="E66" i="1"/>
  <c r="W93" i="7"/>
  <c r="V93" i="7"/>
  <c r="T93" i="7"/>
  <c r="S93" i="7"/>
  <c r="Q93" i="7"/>
  <c r="O93" i="7"/>
  <c r="N93" i="7"/>
  <c r="M93" i="7"/>
  <c r="U66" i="1"/>
  <c r="S61" i="1"/>
  <c r="P61" i="1"/>
  <c r="P60" i="1"/>
  <c r="D61" i="1"/>
  <c r="G79" i="3" a="1"/>
  <c r="G79" i="3" s="1"/>
  <c r="G78" i="3" a="1"/>
  <c r="G78" i="3" s="1"/>
  <c r="G77" i="3"/>
  <c r="G75" i="3"/>
  <c r="G74" i="3"/>
  <c r="D86" i="3"/>
  <c r="C86" i="3"/>
  <c r="B86" i="3"/>
  <c r="B85" i="3"/>
  <c r="V47" i="1"/>
  <c r="V66" i="1" s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P59" i="1"/>
  <c r="D59" i="1"/>
  <c r="D83" i="3"/>
  <c r="C83" i="3"/>
  <c r="B83" i="3"/>
  <c r="S52" i="1"/>
  <c r="M92" i="7" l="1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V92" i="7" l="1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<sst xmlns="http://schemas.openxmlformats.org/spreadsheetml/2006/main" count="946" uniqueCount="631">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</sst>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="110" zoomScaleNormal="110" workbookViewId="0">
      <pane ySplit="1" topLeftCell="A19" activePane="bottomLeft" state="frozen"/>
      <selection activeCell="D1" sqref="D1"/>
      <selection pane="bottomLeft" activeCell="B23" sqref="B23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1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599</v>
      </c>
      <c r="F43" s="36" t="s">
        <v>600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599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46302</v>
      </c>
      <c r="D47" s="56">
        <f t="shared" si="5"/>
        <v>14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-600</v>
      </c>
      <c r="M47" s="47">
        <v>268.09100000000001</v>
      </c>
      <c r="N47" s="47" t="s">
        <v>72</v>
      </c>
      <c r="O47" s="47">
        <v>265.44</v>
      </c>
      <c r="P47" s="49">
        <f>ABS(O47*L47)</f>
        <v>159264</v>
      </c>
      <c r="Q47" s="47">
        <v>10.1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f>(M47-O47)*600</f>
        <v>1590.6000000000063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532</v>
      </c>
      <c r="K48" s="33" t="s">
        <v>608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615</v>
      </c>
      <c r="F51" s="36" t="s">
        <v>616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615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617</v>
      </c>
      <c r="F52" s="36" t="s">
        <v>618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617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619</v>
      </c>
      <c r="F53" s="36" t="s">
        <v>620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619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621</v>
      </c>
      <c r="F54" s="36" t="s">
        <v>622</v>
      </c>
      <c r="G54" s="33" t="s">
        <v>30</v>
      </c>
      <c r="H54" s="36" t="s">
        <v>623</v>
      </c>
      <c r="I54" s="33" t="s">
        <v>48</v>
      </c>
      <c r="J54" s="33" t="s">
        <v>48</v>
      </c>
      <c r="K54" s="33" t="s">
        <v>621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624</v>
      </c>
      <c r="F55" s="36" t="s">
        <v>625</v>
      </c>
      <c r="G55" s="33" t="s">
        <v>30</v>
      </c>
      <c r="H55" s="36" t="s">
        <v>623</v>
      </c>
      <c r="I55" s="33" t="s">
        <v>48</v>
      </c>
      <c r="J55" s="33" t="s">
        <v>48</v>
      </c>
      <c r="K55" s="33" t="s">
        <v>624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626</v>
      </c>
      <c r="F56" s="36" t="s">
        <v>627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626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1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628</v>
      </c>
      <c r="F57" s="36" t="s">
        <v>629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628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46301</v>
      </c>
      <c r="D59" s="56">
        <f t="shared" si="5"/>
        <v>4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532</v>
      </c>
      <c r="K59" s="47" t="s">
        <v>608</v>
      </c>
      <c r="L59" s="47">
        <v>10</v>
      </c>
      <c r="M59" s="47">
        <v>17.91</v>
      </c>
      <c r="N59" s="47" t="s">
        <v>72</v>
      </c>
      <c r="O59" s="47">
        <v>17.68</v>
      </c>
      <c r="P59" s="49">
        <f>ABS(M59*L59)*100</f>
        <v>17910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-130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530</v>
      </c>
      <c r="K60" s="33" t="s">
        <v>630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530</v>
      </c>
      <c r="K61" s="33" t="s">
        <v>630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B62" s="34"/>
      <c r="C62" s="34"/>
      <c r="D62" s="35"/>
      <c r="F62" s="36"/>
      <c r="H62" s="36"/>
      <c r="P62" s="39"/>
      <c r="S62" s="40"/>
      <c r="T62" s="39"/>
      <c r="U62" s="41"/>
    </row>
    <row r="63" spans="1:22" x14ac:dyDescent="0.25">
      <c r="B63" s="34"/>
      <c r="C63" s="34"/>
      <c r="D63" s="35"/>
      <c r="F63" s="36"/>
      <c r="H63" s="36"/>
      <c r="P63" s="39"/>
      <c r="S63" s="40"/>
      <c r="T63" s="39"/>
      <c r="U63" s="41"/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103</v>
      </c>
      <c r="E66" s="46">
        <f>AVERAGE(D2:D61)</f>
        <v>6.3</v>
      </c>
      <c r="F66" s="36"/>
      <c r="H66" s="36"/>
      <c r="U66" s="39">
        <f>SUM(U2:U64)</f>
        <v>81147.47</v>
      </c>
      <c r="V66" s="39">
        <f>SUM(V2:V64)</f>
        <v>1460.6000000000063</v>
      </c>
    </row>
    <row r="67" spans="4:22" x14ac:dyDescent="0.25">
      <c r="D67" s="52" t="s">
        <v>104</v>
      </c>
      <c r="E67" s="46">
        <f>AVERAGE(D2:D11,D13,D15:D61)</f>
        <v>4.5172413793103452</v>
      </c>
      <c r="F67" s="36"/>
      <c r="U67" s="53" t="s">
        <v>105</v>
      </c>
      <c r="V67" s="36" t="s">
        <v>106</v>
      </c>
    </row>
    <row r="68" spans="4:22" x14ac:dyDescent="0.25">
      <c r="F68" s="36"/>
      <c r="U68" s="33" t="s">
        <v>107</v>
      </c>
    </row>
    <row r="69" spans="4:22" x14ac:dyDescent="0.25">
      <c r="F69" s="36"/>
      <c r="U69" s="39">
        <f>U66+V66</f>
        <v>82608.070000000007</v>
      </c>
    </row>
    <row r="70" spans="4:22" x14ac:dyDescent="0.25">
      <c r="F70" s="36"/>
    </row>
    <row r="71" spans="4:22" x14ac:dyDescent="0.25">
      <c r="F71" s="36"/>
      <c r="U71" s="36" t="s">
        <v>108</v>
      </c>
    </row>
    <row r="72" spans="4:22" x14ac:dyDescent="0.25">
      <c r="F72" s="36"/>
      <c r="U72" s="39">
        <v>333000</v>
      </c>
    </row>
    <row r="74" spans="4:22" x14ac:dyDescent="0.25">
      <c r="U74" s="33" t="s">
        <v>109</v>
      </c>
    </row>
    <row r="75" spans="4:22" x14ac:dyDescent="0.25">
      <c r="U75" s="54">
        <f>U69/U72</f>
        <v>0.24807228228228231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6"/>
  <sheetViews>
    <sheetView topLeftCell="A51" zoomScale="200" zoomScaleNormal="200" workbookViewId="0">
      <selection activeCell="I76" sqref="I76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6" si="0">B4-B3</f>
        <v>6713.6600000000326</v>
      </c>
      <c r="D4" s="23">
        <f t="shared" ref="D4:D86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AVERAGE(C3:C86)</f>
        <v>998.5129761904758</v>
      </c>
      <c r="I74" s="27">
        <v>902.21795180722847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_xlfn.STDEV.S(C3:C86)</f>
        <v>4188.0771538061736</v>
      </c>
      <c r="I75" s="27">
        <v>4118.9178440263222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3.7847684063843623</v>
      </c>
      <c r="I76" s="28">
        <v>3.4771914652125262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_xlfn.STDEV.S(D2:D86)*SQRT(252)</f>
        <v>0.17936221602538568</v>
      </c>
      <c r="I77" s="29">
        <v>0.17723571184916939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PRODUCT(1+D3:D86)-1</f>
        <v>0.25153296701764072</v>
      </c>
      <c r="I78" s="29">
        <v>0.22456987799129102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PRODUCT(1+D2:D86)^(252/COUNT(D2:D86))-1</f>
        <v>0.94485730362176024</v>
      </c>
      <c r="I79" s="29">
        <v>0.83632994929563176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K93" sqref="K9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3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0.3929790871637609</v>
      </c>
      <c r="O92" s="15">
        <f t="shared" ref="O92" si="61">D92/M92</f>
        <v>0.56376480039973942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6">C93/M93</f>
        <v>7.0369192644656187E-2</v>
      </c>
      <c r="O93" s="15">
        <f t="shared" ref="O93" si="67">D93/M93</f>
        <v>0</v>
      </c>
      <c r="P93" s="15">
        <v>0</v>
      </c>
      <c r="Q93" s="15">
        <f>E93/M93</f>
        <v>0.92188510838934634</v>
      </c>
      <c r="R93" s="15">
        <v>0</v>
      </c>
      <c r="S93" s="15">
        <f t="shared" ref="S93" si="68">H93/M93</f>
        <v>7.7456989659974345E-3</v>
      </c>
      <c r="T93" s="15">
        <f t="shared" ref="T93" si="69">I93/M93</f>
        <v>0</v>
      </c>
      <c r="U93" s="15">
        <v>0</v>
      </c>
      <c r="V93" s="16">
        <f t="shared" ref="V93" si="70">K93/M93</f>
        <v>0</v>
      </c>
      <c r="W93" s="15">
        <f t="shared" ref="W93" si="71">L93/M93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2026-10-08T10:58:22Z</dcterms:modified>
  <cp:category/>
  <cp:contentStatus/>
</cp:coreProperties>
</file>