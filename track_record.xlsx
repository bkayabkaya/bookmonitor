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3ECBACBA-C62A-234C-AF68-31E7F3ED601B}" xr6:coauthVersionLast="47" xr6:coauthVersionMax="47" xr10:uidLastSave="{00000000-0000-0000-0000-000000000000}"/>
  <bookViews>
    <workbookView xWindow="8800" yWindow="-37220" windowWidth="50360" windowHeight="2972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2" i="7" l="1"/>
  <c r="S82" i="7"/>
  <c r="N82" i="7"/>
  <c r="M82" i="7"/>
  <c r="L82" i="7"/>
  <c r="D82" i="7"/>
  <c r="G70" i="3" a="1"/>
  <c r="G70" i="3" s="1"/>
  <c r="G69" i="3" a="1"/>
  <c r="G69" i="3" s="1"/>
  <c r="G68" i="3"/>
  <c r="G66" i="3"/>
  <c r="G65" i="3"/>
  <c r="D75" i="3"/>
  <c r="C75" i="3"/>
  <c r="B75" i="3"/>
  <c r="S45" i="1"/>
  <c r="B74" i="3"/>
  <c r="C74" i="3" s="1"/>
  <c r="U81" i="7"/>
  <c r="S81" i="7"/>
  <c r="N81" i="7"/>
  <c r="M81" i="7"/>
  <c r="L81" i="7"/>
  <c r="E47" i="1"/>
  <c r="E48" i="1"/>
  <c r="V47" i="1"/>
  <c r="U47" i="1"/>
  <c r="D45" i="1"/>
  <c r="D44" i="1"/>
  <c r="D43" i="1"/>
  <c r="D42" i="1"/>
  <c r="D41" i="1"/>
  <c r="U80" i="7"/>
  <c r="S80" i="7"/>
  <c r="N80" i="7"/>
  <c r="M80" i="7"/>
  <c r="L80" i="7"/>
  <c r="D80" i="7"/>
  <c r="B73" i="3"/>
  <c r="C73" i="3" s="1"/>
  <c r="S36" i="1"/>
  <c r="D40" i="1"/>
  <c r="D74" i="3" l="1"/>
  <c r="D73" i="3"/>
  <c r="S32" i="1"/>
  <c r="B72" i="3"/>
  <c r="D79" i="7"/>
  <c r="C72" i="3"/>
  <c r="D72" i="3" s="1"/>
  <c r="B71" i="3"/>
  <c r="U78" i="7"/>
  <c r="C71" i="3"/>
  <c r="S78" i="7"/>
  <c r="N78" i="7"/>
  <c r="M78" i="7"/>
  <c r="L78" i="7"/>
  <c r="D78" i="7"/>
  <c r="B78" i="7"/>
  <c r="D39" i="1"/>
  <c r="T77" i="7"/>
  <c r="S77" i="7"/>
  <c r="N77" i="7"/>
  <c r="M77" i="7"/>
  <c r="L77" i="7"/>
  <c r="D77" i="7"/>
  <c r="D70" i="3"/>
  <c r="C70" i="3"/>
  <c r="B70" i="3"/>
  <c r="L79" i="7" l="1"/>
  <c r="D71" i="3"/>
  <c r="T76" i="7"/>
  <c r="S76" i="7"/>
  <c r="N76" i="7"/>
  <c r="M76" i="7"/>
  <c r="L76" i="7"/>
  <c r="D76" i="7"/>
  <c r="S35" i="1"/>
  <c r="U79" i="7" l="1"/>
  <c r="S79" i="7"/>
  <c r="M79" i="7"/>
  <c r="N79" i="7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50" i="1"/>
  <c r="U56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<sst xmlns="http://schemas.openxmlformats.org/spreadsheetml/2006/main" count="852" uniqueCount="604">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</sst>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6"/>
  <sheetViews>
    <sheetView tabSelected="1" zoomScale="110" zoomScaleNormal="110" workbookViewId="0">
      <pane ySplit="1" topLeftCell="A9" activePane="bottomLeft" state="frozen"/>
      <selection activeCell="D1" sqref="D1"/>
      <selection pane="bottomLeft" activeCell="L45" sqref="L45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5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46287</v>
      </c>
      <c r="D39" s="35">
        <f t="shared" si="5"/>
        <v>6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44.8</v>
      </c>
      <c r="N39" s="47" t="s">
        <v>72</v>
      </c>
      <c r="O39" s="47">
        <v>46.47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1695</v>
      </c>
    </row>
    <row r="40" spans="1:22" x14ac:dyDescent="0.25">
      <c r="A40" s="33">
        <v>35</v>
      </c>
      <c r="B40" s="34">
        <v>46283</v>
      </c>
      <c r="C40" s="55">
        <v>46287</v>
      </c>
      <c r="D40" s="35">
        <f t="shared" si="5"/>
        <v>4</v>
      </c>
      <c r="E40" s="47" t="s">
        <v>593</v>
      </c>
      <c r="F40" s="48" t="s">
        <v>594</v>
      </c>
      <c r="G40" s="47" t="s">
        <v>23</v>
      </c>
      <c r="H40" s="48" t="s">
        <v>24</v>
      </c>
      <c r="I40" s="47" t="s">
        <v>25</v>
      </c>
      <c r="J40" s="47" t="s">
        <v>25</v>
      </c>
      <c r="K40" s="47" t="s">
        <v>593</v>
      </c>
      <c r="L40" s="47">
        <v>1000</v>
      </c>
      <c r="M40" s="47">
        <v>35.6</v>
      </c>
      <c r="N40" s="47" t="s">
        <v>72</v>
      </c>
      <c r="O40" s="47">
        <v>35.479999999999997</v>
      </c>
      <c r="P40" s="49">
        <v>35270</v>
      </c>
      <c r="Q40" s="47">
        <v>3.11</v>
      </c>
      <c r="R40" s="47" t="s">
        <v>72</v>
      </c>
      <c r="S40" s="50" t="s">
        <v>72</v>
      </c>
      <c r="T40" s="47" t="s">
        <v>72</v>
      </c>
      <c r="U40" s="49" t="s">
        <v>72</v>
      </c>
      <c r="V40" s="33">
        <v>-35</v>
      </c>
    </row>
    <row r="41" spans="1:22" x14ac:dyDescent="0.25">
      <c r="A41" s="33">
        <v>36</v>
      </c>
      <c r="B41" s="34">
        <v>46286</v>
      </c>
      <c r="C41" s="55">
        <v>46287</v>
      </c>
      <c r="D41" s="35">
        <f t="shared" si="5"/>
        <v>1</v>
      </c>
      <c r="E41" s="47" t="s">
        <v>595</v>
      </c>
      <c r="F41" s="48" t="s">
        <v>596</v>
      </c>
      <c r="G41" s="47" t="s">
        <v>23</v>
      </c>
      <c r="H41" s="48" t="s">
        <v>24</v>
      </c>
      <c r="I41" s="47" t="s">
        <v>25</v>
      </c>
      <c r="J41" s="47" t="s">
        <v>25</v>
      </c>
      <c r="K41" s="47" t="s">
        <v>595</v>
      </c>
      <c r="L41" s="47">
        <v>700</v>
      </c>
      <c r="M41" s="47">
        <v>79.78</v>
      </c>
      <c r="N41" s="47" t="s">
        <v>72</v>
      </c>
      <c r="O41" s="47">
        <v>79.86</v>
      </c>
      <c r="P41" s="49">
        <v>55902</v>
      </c>
      <c r="Q41" s="47">
        <v>2.5499999999999998</v>
      </c>
      <c r="R41" s="47" t="s">
        <v>72</v>
      </c>
      <c r="S41" s="50" t="s">
        <v>72</v>
      </c>
      <c r="T41" s="47" t="s">
        <v>72</v>
      </c>
      <c r="U41" s="49" t="s">
        <v>72</v>
      </c>
      <c r="V41" s="33">
        <v>66</v>
      </c>
    </row>
    <row r="42" spans="1:22" x14ac:dyDescent="0.25">
      <c r="A42" s="33">
        <v>37</v>
      </c>
      <c r="B42" s="34">
        <v>46286</v>
      </c>
      <c r="C42" s="55">
        <v>46287</v>
      </c>
      <c r="D42" s="35">
        <f t="shared" si="5"/>
        <v>1</v>
      </c>
      <c r="E42" s="47" t="s">
        <v>597</v>
      </c>
      <c r="F42" s="48" t="s">
        <v>598</v>
      </c>
      <c r="G42" s="47" t="s">
        <v>23</v>
      </c>
      <c r="H42" s="48" t="s">
        <v>24</v>
      </c>
      <c r="I42" s="47" t="s">
        <v>25</v>
      </c>
      <c r="J42" s="47" t="s">
        <v>25</v>
      </c>
      <c r="K42" s="47" t="s">
        <v>597</v>
      </c>
      <c r="L42" s="47">
        <v>150</v>
      </c>
      <c r="M42" s="47">
        <v>298.27</v>
      </c>
      <c r="N42" s="47" t="s">
        <v>72</v>
      </c>
      <c r="O42" s="47">
        <v>305.25</v>
      </c>
      <c r="P42" s="49">
        <v>45792</v>
      </c>
      <c r="Q42" s="47">
        <v>3.67</v>
      </c>
      <c r="R42" s="47" t="s">
        <v>72</v>
      </c>
      <c r="S42" s="50" t="s">
        <v>72</v>
      </c>
      <c r="T42" s="47" t="s">
        <v>72</v>
      </c>
      <c r="U42" s="49" t="s">
        <v>72</v>
      </c>
      <c r="V42" s="33">
        <v>1551</v>
      </c>
    </row>
    <row r="43" spans="1:22" x14ac:dyDescent="0.25">
      <c r="A43" s="33">
        <v>38</v>
      </c>
      <c r="B43" s="34">
        <v>46286</v>
      </c>
      <c r="C43" s="55">
        <v>46287</v>
      </c>
      <c r="D43" s="35">
        <f t="shared" si="5"/>
        <v>1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-100</v>
      </c>
      <c r="M43" s="47">
        <v>159.58000000000001</v>
      </c>
      <c r="N43" s="47" t="s">
        <v>72</v>
      </c>
      <c r="O43" s="47">
        <v>155.94</v>
      </c>
      <c r="P43" s="49">
        <v>15961</v>
      </c>
      <c r="Q43" s="47">
        <v>1.0900000000000001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359</v>
      </c>
    </row>
    <row r="44" spans="1:22" x14ac:dyDescent="0.25">
      <c r="A44" s="33">
        <v>39</v>
      </c>
      <c r="B44" s="34">
        <v>46286</v>
      </c>
      <c r="C44" s="55">
        <v>46287</v>
      </c>
      <c r="D44" s="35">
        <f t="shared" si="5"/>
        <v>1</v>
      </c>
      <c r="E44" s="47" t="s">
        <v>601</v>
      </c>
      <c r="F44" s="48" t="s">
        <v>602</v>
      </c>
      <c r="G44" s="47" t="s">
        <v>23</v>
      </c>
      <c r="H44" s="48" t="s">
        <v>24</v>
      </c>
      <c r="I44" s="47" t="s">
        <v>25</v>
      </c>
      <c r="J44" s="47" t="s">
        <v>25</v>
      </c>
      <c r="K44" s="47" t="s">
        <v>601</v>
      </c>
      <c r="L44" s="47">
        <v>325</v>
      </c>
      <c r="M44" s="47">
        <v>310.77999999999997</v>
      </c>
      <c r="N44" s="47" t="s">
        <v>72</v>
      </c>
      <c r="O44" s="47">
        <v>314.01</v>
      </c>
      <c r="P44" s="49">
        <v>102050</v>
      </c>
      <c r="Q44" s="47">
        <v>5.32</v>
      </c>
      <c r="R44" s="47" t="s">
        <v>72</v>
      </c>
      <c r="S44" s="50" t="s">
        <v>72</v>
      </c>
      <c r="T44" s="47" t="s">
        <v>72</v>
      </c>
      <c r="U44" s="49" t="s">
        <v>72</v>
      </c>
      <c r="V44" s="33">
        <v>1595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" si="7">IF(R45=1, ABS(N45-M45)/M45, 0)</f>
        <v>6.6957880304817775E-4</v>
      </c>
      <c r="T45" s="33">
        <v>108</v>
      </c>
      <c r="U45" s="41">
        <v>108</v>
      </c>
    </row>
    <row r="46" spans="1:22" x14ac:dyDescent="0.25">
      <c r="F46" s="36"/>
      <c r="H46" s="36"/>
    </row>
    <row r="47" spans="1:22" x14ac:dyDescent="0.25">
      <c r="D47" s="52" t="s">
        <v>103</v>
      </c>
      <c r="E47" s="46">
        <f>AVERAGE(D2:D38)</f>
        <v>7.8648648648648649</v>
      </c>
      <c r="F47" s="36"/>
      <c r="H47" s="36"/>
      <c r="U47" s="39">
        <f>SUM(U2:U45)</f>
        <v>75853.47</v>
      </c>
      <c r="V47" s="39">
        <f>SUM(V2:V45)</f>
        <v>5231</v>
      </c>
    </row>
    <row r="48" spans="1:22" x14ac:dyDescent="0.25">
      <c r="D48" s="52" t="s">
        <v>104</v>
      </c>
      <c r="E48" s="46">
        <f>AVERAGE(D2:D11,D13,D15:D38)</f>
        <v>5</v>
      </c>
      <c r="F48" s="36"/>
      <c r="U48" s="53" t="s">
        <v>105</v>
      </c>
      <c r="V48" s="36" t="s">
        <v>106</v>
      </c>
    </row>
    <row r="49" spans="6:21" x14ac:dyDescent="0.25">
      <c r="F49" s="36"/>
      <c r="U49" s="33" t="s">
        <v>107</v>
      </c>
    </row>
    <row r="50" spans="6:21" x14ac:dyDescent="0.25">
      <c r="F50" s="36"/>
      <c r="U50" s="39">
        <f>U47+V47</f>
        <v>81084.47</v>
      </c>
    </row>
    <row r="51" spans="6:21" x14ac:dyDescent="0.25">
      <c r="F51" s="36"/>
    </row>
    <row r="52" spans="6:21" x14ac:dyDescent="0.25">
      <c r="F52" s="36"/>
      <c r="U52" s="36" t="s">
        <v>108</v>
      </c>
    </row>
    <row r="53" spans="6:21" x14ac:dyDescent="0.25">
      <c r="F53" s="36"/>
      <c r="U53" s="39">
        <v>333000</v>
      </c>
    </row>
    <row r="55" spans="6:21" x14ac:dyDescent="0.25">
      <c r="U55" s="33" t="s">
        <v>109</v>
      </c>
    </row>
    <row r="56" spans="6:21" x14ac:dyDescent="0.25">
      <c r="U56" s="54">
        <f>U50/U53</f>
        <v>0.24349690690690692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5"/>
  <sheetViews>
    <sheetView topLeftCell="A47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5" si="0">B4-B3</f>
        <v>6713.6600000000326</v>
      </c>
      <c r="D4" s="23">
        <f t="shared" ref="D4:D7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AVERAGE(C3:C75)</f>
        <v>1176.6587671232871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_xlfn.STDEV.S(C3:C75)</f>
        <v>4261.9974709006747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4.382658362020365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_xlfn.STDEV.S(D2:D75)*SQRT(252)</f>
        <v>0.18422027876165134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PRODUCT(1+D2:D75)-1</f>
        <v>0.25759373922565487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PRODUCT(1+D2:D75)^(252/COUNT(D2:D75))-1</f>
        <v>1.1826057878918159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</row>
    <row r="75" spans="1:7" x14ac:dyDescent="0.2">
      <c r="A75" s="26">
        <v>46287</v>
      </c>
      <c r="B75" s="5">
        <f>B74+4900</f>
        <v>419352</v>
      </c>
      <c r="C75" s="5">
        <f t="shared" si="0"/>
        <v>4900</v>
      </c>
      <c r="D75" s="23">
        <f t="shared" si="1"/>
        <v>1.1822840763224691E-2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6" activePane="bottomLeft" state="frozen"/>
      <selection pane="bottomLeft" activeCell="M84" sqref="M8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82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415663</v>
      </c>
      <c r="C79" s="19">
        <v>235136</v>
      </c>
      <c r="D79" s="13">
        <f>B79-C79-K79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415663</v>
      </c>
      <c r="M79" s="15">
        <f t="shared" ref="M79" si="10">C79/L79</f>
        <v>0.56568903173965446</v>
      </c>
      <c r="N79" s="15">
        <f t="shared" ref="N79" si="11">D79/L79</f>
        <v>0.32845598477612875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0.10585498348421678</v>
      </c>
    </row>
    <row r="80" spans="1:21" x14ac:dyDescent="0.25">
      <c r="A80" s="10">
        <v>46283</v>
      </c>
      <c r="B80" s="11">
        <v>413875</v>
      </c>
      <c r="C80" s="19">
        <v>17795</v>
      </c>
      <c r="D80" s="13">
        <f>B80-C80-K80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8">
        <v>44000</v>
      </c>
      <c r="L80" s="14">
        <f t="shared" si="0"/>
        <v>413875</v>
      </c>
      <c r="M80" s="15">
        <f t="shared" ref="M80" si="12">C80/L80</f>
        <v>4.299607369374811E-2</v>
      </c>
      <c r="N80" s="15">
        <f t="shared" ref="N80" si="13">D80/L80</f>
        <v>0.85069163394744796</v>
      </c>
      <c r="O80" s="16">
        <v>0</v>
      </c>
      <c r="P80" s="16">
        <v>0</v>
      </c>
      <c r="Q80" s="16">
        <v>0</v>
      </c>
      <c r="R80" s="16">
        <v>0</v>
      </c>
      <c r="S80" s="16">
        <f t="shared" ref="S80" si="14">I80/L80</f>
        <v>0</v>
      </c>
      <c r="T80" s="16">
        <v>0</v>
      </c>
      <c r="U80" s="16">
        <f>K80/L80</f>
        <v>0.10631229235880399</v>
      </c>
    </row>
    <row r="81" spans="1:21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8">
        <v>44000</v>
      </c>
      <c r="L81" s="14">
        <f t="shared" si="0"/>
        <v>504892</v>
      </c>
      <c r="M81" s="15">
        <f t="shared" ref="M81" si="15">C81/L81</f>
        <v>0.60245359403595222</v>
      </c>
      <c r="N81" s="15">
        <f t="shared" ref="N81" si="16">D81/L81</f>
        <v>0</v>
      </c>
      <c r="O81" s="16">
        <v>0</v>
      </c>
      <c r="P81" s="16">
        <v>0</v>
      </c>
      <c r="Q81" s="16">
        <v>0</v>
      </c>
      <c r="R81" s="16">
        <v>0</v>
      </c>
      <c r="S81" s="16">
        <f t="shared" ref="S81" si="17">I81/L81</f>
        <v>0.31039905563962195</v>
      </c>
      <c r="T81" s="16">
        <v>0</v>
      </c>
      <c r="U81" s="16">
        <f>K81/L81</f>
        <v>8.7147350324425818E-2</v>
      </c>
    </row>
    <row r="82" spans="1:21" x14ac:dyDescent="0.25">
      <c r="A82" s="10">
        <v>46287</v>
      </c>
      <c r="B82" s="11">
        <v>419352</v>
      </c>
      <c r="C82" s="19">
        <v>254975</v>
      </c>
      <c r="D82" s="13">
        <f>B82-C82-K82</f>
        <v>120377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8">
        <v>44000</v>
      </c>
      <c r="L82" s="14">
        <f t="shared" si="0"/>
        <v>419352</v>
      </c>
      <c r="M82" s="15">
        <f t="shared" ref="M82" si="18">C82/L82</f>
        <v>0.60802142352963617</v>
      </c>
      <c r="N82" s="15">
        <f t="shared" ref="N82" si="19">D82/L82</f>
        <v>0.28705478929395828</v>
      </c>
      <c r="O82" s="16">
        <v>0</v>
      </c>
      <c r="P82" s="16">
        <v>0</v>
      </c>
      <c r="Q82" s="16">
        <v>0</v>
      </c>
      <c r="R82" s="16">
        <v>0</v>
      </c>
      <c r="S82" s="16">
        <f t="shared" ref="S82" si="20">I82/L82</f>
        <v>0</v>
      </c>
      <c r="T82" s="16">
        <v>0</v>
      </c>
      <c r="U82" s="16">
        <f>K82/L82</f>
        <v>0.10492378717640551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2026-09-22T21:06:03Z</dcterms:modified>
  <cp:category/>
  <cp:contentStatus/>
</cp:coreProperties>
</file>