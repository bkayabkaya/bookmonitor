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3923FAC1-FA40-6749-8962-F03D7D6758A4}" xr6:coauthVersionLast="47" xr6:coauthVersionMax="47" xr10:uidLastSave="{00000000-0000-0000-0000-000000000000}"/>
  <bookViews>
    <workbookView xWindow="6480" yWindow="-38360" windowWidth="51480" windowHeight="28800" xr2:uid="{00000000-000D-0000-FFFF-FFFF00000000}"/>
  </bookViews>
  <sheets>
    <sheet name="Trades" sheetId="1" r:id="rId1"/>
    <sheet name="Daily PnL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0" i="1" l="1"/>
  <c r="R29" i="1"/>
  <c r="R19" i="1"/>
  <c r="H7" i="3" a="1"/>
  <c r="H7" i="3" s="1"/>
  <c r="H6" i="3" a="1"/>
  <c r="H6" i="3" s="1"/>
  <c r="H5" i="3"/>
  <c r="H3" i="3"/>
  <c r="H2" i="3"/>
  <c r="D61" i="3"/>
  <c r="C61" i="3"/>
  <c r="B61" i="3"/>
  <c r="T36" i="1"/>
  <c r="R31" i="1"/>
  <c r="D60" i="3" l="1"/>
  <c r="C60" i="3"/>
  <c r="B60" i="3"/>
  <c r="U36" i="1"/>
  <c r="R12" i="1"/>
  <c r="R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<sst xmlns="http://schemas.openxmlformats.org/spreadsheetml/2006/main" count="229" uniqueCount="120">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</sst>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H41" sqref="H41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21</v>
      </c>
      <c r="F2" s="11" t="s">
        <v>22</v>
      </c>
      <c r="G2" s="3" t="s">
        <v>23</v>
      </c>
      <c r="H2" s="12" t="s">
        <v>24</v>
      </c>
      <c r="I2" s="3" t="s">
        <v>25</v>
      </c>
      <c r="J2" s="4" t="s">
        <v>21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26</v>
      </c>
      <c r="F3" s="12" t="s">
        <v>27</v>
      </c>
      <c r="G3" s="3" t="s">
        <v>23</v>
      </c>
      <c r="H3" s="12" t="s">
        <v>24</v>
      </c>
      <c r="I3" s="3" t="s">
        <v>25</v>
      </c>
      <c r="J3" s="3" t="s">
        <v>26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28</v>
      </c>
      <c r="F4" s="11" t="s">
        <v>29</v>
      </c>
      <c r="G4" s="4" t="s">
        <v>30</v>
      </c>
      <c r="H4" s="11" t="s">
        <v>31</v>
      </c>
      <c r="I4" s="4" t="s">
        <v>32</v>
      </c>
      <c r="J4" s="4" t="s">
        <v>33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34</v>
      </c>
      <c r="F5" s="11" t="s">
        <v>35</v>
      </c>
      <c r="G5" s="3" t="s">
        <v>23</v>
      </c>
      <c r="H5" s="12" t="s">
        <v>24</v>
      </c>
      <c r="I5" s="4" t="s">
        <v>32</v>
      </c>
      <c r="J5" s="4" t="s">
        <v>34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36</v>
      </c>
      <c r="F6" s="11" t="s">
        <v>37</v>
      </c>
      <c r="G6" s="4" t="s">
        <v>30</v>
      </c>
      <c r="H6" s="11" t="s">
        <v>31</v>
      </c>
      <c r="I6" s="4" t="s">
        <v>32</v>
      </c>
      <c r="J6" s="4" t="s">
        <v>38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39</v>
      </c>
      <c r="F7" s="11" t="s">
        <v>40</v>
      </c>
      <c r="G7" s="3" t="s">
        <v>23</v>
      </c>
      <c r="H7" s="12" t="s">
        <v>24</v>
      </c>
      <c r="I7" s="4" t="s">
        <v>32</v>
      </c>
      <c r="J7" s="4" t="s">
        <v>41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42</v>
      </c>
      <c r="F8" s="11" t="s">
        <v>43</v>
      </c>
      <c r="G8" s="3" t="s">
        <v>23</v>
      </c>
      <c r="H8" s="12" t="s">
        <v>24</v>
      </c>
      <c r="I8" s="4" t="s">
        <v>32</v>
      </c>
      <c r="J8" s="4" t="s">
        <v>44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45</v>
      </c>
      <c r="F9" s="12" t="s">
        <v>46</v>
      </c>
      <c r="G9" s="3" t="s">
        <v>30</v>
      </c>
      <c r="H9" s="12" t="s">
        <v>47</v>
      </c>
      <c r="I9" s="3" t="s">
        <v>48</v>
      </c>
      <c r="J9" s="3" t="s">
        <v>45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49</v>
      </c>
      <c r="F10" s="12" t="s">
        <v>50</v>
      </c>
      <c r="G10" s="3" t="s">
        <v>30</v>
      </c>
      <c r="H10" s="12" t="s">
        <v>47</v>
      </c>
      <c r="I10" s="3" t="s">
        <v>48</v>
      </c>
      <c r="J10" s="3" t="s">
        <v>49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51</v>
      </c>
      <c r="F11" s="11" t="s">
        <v>52</v>
      </c>
      <c r="G11" s="3" t="s">
        <v>30</v>
      </c>
      <c r="H11" s="11" t="s">
        <v>31</v>
      </c>
      <c r="I11" s="4" t="s">
        <v>32</v>
      </c>
      <c r="J11" s="4" t="s">
        <v>53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46268</v>
      </c>
      <c r="D12" s="2">
        <f t="shared" ca="1" si="0"/>
        <v>66</v>
      </c>
      <c r="E12" s="3" t="s">
        <v>54</v>
      </c>
      <c r="F12" s="12" t="s">
        <v>55</v>
      </c>
      <c r="G12" s="3" t="s">
        <v>23</v>
      </c>
      <c r="H12" s="12" t="s">
        <v>24</v>
      </c>
      <c r="I12" s="3" t="s">
        <v>48</v>
      </c>
      <c r="J12" s="3" t="s">
        <v>54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56</v>
      </c>
      <c r="F13" s="12" t="s">
        <v>57</v>
      </c>
      <c r="G13" s="3" t="s">
        <v>23</v>
      </c>
      <c r="H13" s="12" t="s">
        <v>24</v>
      </c>
      <c r="I13" s="3" t="s">
        <v>25</v>
      </c>
      <c r="J13" s="3" t="s">
        <v>56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9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58</v>
      </c>
      <c r="F14" s="11" t="s">
        <v>59</v>
      </c>
      <c r="G14" s="4" t="s">
        <v>23</v>
      </c>
      <c r="H14" s="12" t="s">
        <v>24</v>
      </c>
      <c r="I14" s="3" t="s">
        <v>32</v>
      </c>
      <c r="J14" s="4" t="s">
        <v>60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61</v>
      </c>
      <c r="F15" s="11" t="s">
        <v>62</v>
      </c>
      <c r="G15" s="3" t="s">
        <v>23</v>
      </c>
      <c r="H15" s="12" t="s">
        <v>24</v>
      </c>
      <c r="I15" s="3" t="s">
        <v>32</v>
      </c>
      <c r="J15" s="4" t="s">
        <v>63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64</v>
      </c>
      <c r="F16" s="12" t="s">
        <v>65</v>
      </c>
      <c r="G16" s="3" t="s">
        <v>23</v>
      </c>
      <c r="H16" s="12" t="s">
        <v>24</v>
      </c>
      <c r="I16" s="3" t="s">
        <v>25</v>
      </c>
      <c r="J16" s="3" t="s">
        <v>64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66</v>
      </c>
      <c r="F17" s="11" t="s">
        <v>67</v>
      </c>
      <c r="G17" s="4" t="s">
        <v>23</v>
      </c>
      <c r="H17" s="11" t="s">
        <v>24</v>
      </c>
      <c r="I17" s="4" t="s">
        <v>25</v>
      </c>
      <c r="J17" s="4" t="s">
        <v>66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68</v>
      </c>
      <c r="F18" s="11" t="s">
        <v>69</v>
      </c>
      <c r="G18" s="4" t="s">
        <v>23</v>
      </c>
      <c r="H18" s="11" t="s">
        <v>24</v>
      </c>
      <c r="I18" s="4" t="s">
        <v>25</v>
      </c>
      <c r="J18" s="4" t="s">
        <v>68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46268</v>
      </c>
      <c r="D19" s="2">
        <f t="shared" ca="1" si="0"/>
        <v>24</v>
      </c>
      <c r="E19" s="4" t="s">
        <v>70</v>
      </c>
      <c r="F19" s="11" t="s">
        <v>71</v>
      </c>
      <c r="G19" s="4" t="s">
        <v>23</v>
      </c>
      <c r="H19" s="11" t="s">
        <v>24</v>
      </c>
      <c r="I19" s="4" t="s">
        <v>48</v>
      </c>
      <c r="J19" s="4" t="s">
        <v>70</v>
      </c>
      <c r="K19" s="4">
        <v>-500</v>
      </c>
      <c r="L19" s="4">
        <v>108.102</v>
      </c>
      <c r="M19" s="4">
        <v>107.749</v>
      </c>
      <c r="N19" s="4">
        <v>107.749</v>
      </c>
      <c r="O19" s="16">
        <v>54051</v>
      </c>
      <c r="P19" s="4">
        <v>4.5599999999999996</v>
      </c>
      <c r="Q19" s="4">
        <v>1</v>
      </c>
      <c r="R19" s="5">
        <f t="shared" si="3"/>
        <v>3.2654344970491629E-3</v>
      </c>
      <c r="S19" s="4">
        <v>177</v>
      </c>
      <c r="T19" s="13">
        <v>177</v>
      </c>
    </row>
    <row r="20" spans="1:21" x14ac:dyDescent="0.2">
      <c r="A20" s="4">
        <v>16</v>
      </c>
      <c r="B20" s="1">
        <v>46244</v>
      </c>
      <c r="C20" s="6">
        <f ca="1">TODAY()</f>
        <v>46268</v>
      </c>
      <c r="D20" s="2">
        <f t="shared" ca="1" si="0"/>
        <v>24</v>
      </c>
      <c r="E20" s="4" t="s">
        <v>73</v>
      </c>
      <c r="F20" s="11" t="s">
        <v>74</v>
      </c>
      <c r="G20" s="4" t="s">
        <v>23</v>
      </c>
      <c r="H20" s="11" t="s">
        <v>24</v>
      </c>
      <c r="I20" s="4" t="s">
        <v>32</v>
      </c>
      <c r="J20" s="4" t="s">
        <v>75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76</v>
      </c>
      <c r="F21" s="11" t="s">
        <v>77</v>
      </c>
      <c r="G21" s="4" t="s">
        <v>30</v>
      </c>
      <c r="H21" s="11" t="s">
        <v>78</v>
      </c>
      <c r="I21" s="4" t="s">
        <v>48</v>
      </c>
      <c r="J21" s="4" t="s">
        <v>76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79</v>
      </c>
      <c r="F22" s="11" t="s">
        <v>80</v>
      </c>
      <c r="G22" s="4" t="s">
        <v>30</v>
      </c>
      <c r="H22" s="11" t="s">
        <v>78</v>
      </c>
      <c r="I22" s="4" t="s">
        <v>32</v>
      </c>
      <c r="J22" s="4" t="s">
        <v>79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82</v>
      </c>
      <c r="G23" s="4" t="s">
        <v>23</v>
      </c>
      <c r="H23" s="11" t="s">
        <v>24</v>
      </c>
      <c r="I23" s="4" t="s">
        <v>32</v>
      </c>
      <c r="J23" s="4" t="s">
        <v>83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34</v>
      </c>
      <c r="F24" s="11" t="s">
        <v>35</v>
      </c>
      <c r="G24" s="4" t="s">
        <v>23</v>
      </c>
      <c r="H24" s="11" t="s">
        <v>24</v>
      </c>
      <c r="I24" s="4" t="s">
        <v>32</v>
      </c>
      <c r="J24" s="4" t="s">
        <v>84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85</v>
      </c>
      <c r="F25" s="11" t="s">
        <v>86</v>
      </c>
      <c r="G25" s="4" t="s">
        <v>23</v>
      </c>
      <c r="H25" s="11" t="s">
        <v>24</v>
      </c>
      <c r="I25" s="4" t="s">
        <v>32</v>
      </c>
      <c r="J25" s="4" t="s">
        <v>87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 t="shared" ref="R25:R31" si="4"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46268</v>
      </c>
      <c r="D26" s="2">
        <f t="shared" ref="D26:D32" ca="1" si="5">C26-B26</f>
        <v>10</v>
      </c>
      <c r="E26" s="4" t="s">
        <v>88</v>
      </c>
      <c r="F26" s="11" t="s">
        <v>89</v>
      </c>
      <c r="G26" s="4" t="s">
        <v>23</v>
      </c>
      <c r="H26" s="11" t="s">
        <v>24</v>
      </c>
      <c r="I26" s="4" t="s">
        <v>32</v>
      </c>
      <c r="J26" s="4" t="s">
        <v>90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 t="shared" si="4"/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91</v>
      </c>
      <c r="F27" s="11" t="s">
        <v>92</v>
      </c>
      <c r="G27" s="4" t="s">
        <v>23</v>
      </c>
      <c r="H27" s="11" t="s">
        <v>24</v>
      </c>
      <c r="I27" s="4" t="s">
        <v>25</v>
      </c>
      <c r="J27" s="4" t="s">
        <v>91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 t="shared" si="4"/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v>46266</v>
      </c>
      <c r="D28" s="2">
        <f t="shared" si="5"/>
        <v>1</v>
      </c>
      <c r="E28" s="4" t="s">
        <v>93</v>
      </c>
      <c r="F28" s="11" t="s">
        <v>94</v>
      </c>
      <c r="G28" s="4" t="s">
        <v>23</v>
      </c>
      <c r="H28" s="11" t="s">
        <v>24</v>
      </c>
      <c r="I28" s="4" t="s">
        <v>25</v>
      </c>
      <c r="J28" s="4" t="s">
        <v>93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 t="shared" si="4"/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v>46266</v>
      </c>
      <c r="C29" s="1">
        <v>46268</v>
      </c>
      <c r="D29" s="2">
        <f t="shared" si="5"/>
        <v>2</v>
      </c>
      <c r="E29" s="4" t="s">
        <v>95</v>
      </c>
      <c r="F29" s="11" t="s">
        <v>96</v>
      </c>
      <c r="G29" s="4" t="s">
        <v>23</v>
      </c>
      <c r="H29" s="11" t="s">
        <v>24</v>
      </c>
      <c r="I29" s="4" t="s">
        <v>25</v>
      </c>
      <c r="J29" s="4" t="s">
        <v>95</v>
      </c>
      <c r="K29" s="4">
        <v>900</v>
      </c>
      <c r="L29" s="4">
        <v>269.69299999999998</v>
      </c>
      <c r="M29" s="4">
        <v>270.42500000000001</v>
      </c>
      <c r="N29" s="4">
        <v>270.42500000000001</v>
      </c>
      <c r="O29" s="16">
        <v>242723</v>
      </c>
      <c r="P29" s="4">
        <v>12.28</v>
      </c>
      <c r="Q29" s="4">
        <v>1</v>
      </c>
      <c r="R29" s="5">
        <f t="shared" si="4"/>
        <v>2.7141972539147393E-3</v>
      </c>
      <c r="S29" s="4">
        <v>2891</v>
      </c>
      <c r="T29" s="13">
        <v>2891</v>
      </c>
    </row>
    <row r="30" spans="1:21" x14ac:dyDescent="0.2">
      <c r="A30" s="4">
        <v>25</v>
      </c>
      <c r="B30" s="1">
        <v>46266</v>
      </c>
      <c r="C30" s="1">
        <v>46268</v>
      </c>
      <c r="D30" s="2">
        <f t="shared" si="5"/>
        <v>2</v>
      </c>
      <c r="E30" s="4" t="s">
        <v>97</v>
      </c>
      <c r="F30" s="11" t="s">
        <v>98</v>
      </c>
      <c r="G30" s="4" t="s">
        <v>23</v>
      </c>
      <c r="H30" s="11" t="s">
        <v>24</v>
      </c>
      <c r="I30" s="4" t="s">
        <v>25</v>
      </c>
      <c r="J30" s="4" t="s">
        <v>97</v>
      </c>
      <c r="K30" s="4">
        <v>310</v>
      </c>
      <c r="L30" s="4">
        <v>951.66</v>
      </c>
      <c r="M30" s="4">
        <v>949.6</v>
      </c>
      <c r="N30" s="4">
        <v>949.6</v>
      </c>
      <c r="O30" s="16">
        <v>295017</v>
      </c>
      <c r="P30" s="4">
        <v>9.18</v>
      </c>
      <c r="Q30" s="4">
        <v>0</v>
      </c>
      <c r="R30" s="5">
        <f t="shared" si="4"/>
        <v>0</v>
      </c>
      <c r="S30" s="4">
        <v>-642</v>
      </c>
      <c r="T30" s="25">
        <v>-642</v>
      </c>
    </row>
    <row r="31" spans="1:21" x14ac:dyDescent="0.2">
      <c r="A31" s="4">
        <v>26</v>
      </c>
      <c r="B31" s="1">
        <v>46266</v>
      </c>
      <c r="C31" s="1">
        <v>46267</v>
      </c>
      <c r="D31" s="2">
        <f t="shared" si="5"/>
        <v>1</v>
      </c>
      <c r="E31" s="4" t="s">
        <v>99</v>
      </c>
      <c r="F31" s="11" t="s">
        <v>100</v>
      </c>
      <c r="G31" s="4" t="s">
        <v>23</v>
      </c>
      <c r="H31" s="11" t="s">
        <v>24</v>
      </c>
      <c r="I31" s="4" t="s">
        <v>25</v>
      </c>
      <c r="J31" s="4" t="s">
        <v>99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 t="shared" si="4"/>
        <v>8.455326735182055E-3</v>
      </c>
      <c r="S31" s="4">
        <v>4108</v>
      </c>
      <c r="T31" s="13">
        <v>4108</v>
      </c>
    </row>
    <row r="32" spans="1:21" x14ac:dyDescent="0.2">
      <c r="A32" s="4">
        <v>27</v>
      </c>
      <c r="B32" s="1">
        <v>46266</v>
      </c>
      <c r="C32" s="1">
        <v>46268</v>
      </c>
      <c r="D32" s="2">
        <f t="shared" si="5"/>
        <v>2</v>
      </c>
      <c r="E32" s="28" t="s">
        <v>101</v>
      </c>
      <c r="F32" s="29" t="s">
        <v>102</v>
      </c>
      <c r="G32" s="28" t="s">
        <v>23</v>
      </c>
      <c r="H32" s="29" t="s">
        <v>24</v>
      </c>
      <c r="I32" s="28" t="s">
        <v>25</v>
      </c>
      <c r="J32" s="28" t="s">
        <v>101</v>
      </c>
      <c r="K32" s="28">
        <v>-4000</v>
      </c>
      <c r="L32" s="28">
        <v>50.406999999999996</v>
      </c>
      <c r="M32" s="28" t="s">
        <v>72</v>
      </c>
      <c r="N32" s="28">
        <v>50.59</v>
      </c>
      <c r="O32" s="30">
        <v>201080</v>
      </c>
      <c r="P32" s="28">
        <v>1.21</v>
      </c>
      <c r="Q32" s="28" t="s">
        <v>72</v>
      </c>
      <c r="R32" s="31" t="s">
        <v>72</v>
      </c>
      <c r="S32" s="28" t="s">
        <v>72</v>
      </c>
      <c r="T32" s="30" t="s">
        <v>72</v>
      </c>
      <c r="U32" s="4">
        <v>-366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103</v>
      </c>
      <c r="E36" s="7">
        <f ca="1">AVERAGE(D2:D24)</f>
        <v>11.347826086956522</v>
      </c>
      <c r="F36" s="11"/>
      <c r="H36" s="11"/>
      <c r="T36" s="16">
        <f>SUM(T2:T31)</f>
        <v>67975.47</v>
      </c>
      <c r="U36" s="16">
        <f>SUM(U2:U32)</f>
        <v>-366</v>
      </c>
    </row>
    <row r="37" spans="2:21" x14ac:dyDescent="0.2">
      <c r="D37" s="24" t="s">
        <v>104</v>
      </c>
      <c r="E37" s="7">
        <f ca="1">AVERAGE(D2:D11,D13,D15:D25)</f>
        <v>6.5909090909090908</v>
      </c>
      <c r="F37" s="11"/>
      <c r="T37" s="4" t="s">
        <v>105</v>
      </c>
      <c r="U37" s="11" t="s">
        <v>106</v>
      </c>
    </row>
    <row r="38" spans="2:21" x14ac:dyDescent="0.2">
      <c r="F38" s="11"/>
      <c r="T38" s="4" t="s">
        <v>107</v>
      </c>
    </row>
    <row r="39" spans="2:21" x14ac:dyDescent="0.2">
      <c r="F39" s="11"/>
      <c r="T39" s="16">
        <f>T36+U36</f>
        <v>67609.47</v>
      </c>
    </row>
    <row r="40" spans="2:21" x14ac:dyDescent="0.2">
      <c r="F40" s="11"/>
    </row>
    <row r="41" spans="2:21" x14ac:dyDescent="0.2">
      <c r="F41" s="11"/>
      <c r="T41" s="11" t="s">
        <v>108</v>
      </c>
    </row>
    <row r="42" spans="2:21" x14ac:dyDescent="0.2">
      <c r="F42" s="11"/>
      <c r="T42" s="16">
        <v>333000</v>
      </c>
    </row>
    <row r="44" spans="2:21" x14ac:dyDescent="0.2">
      <c r="T44" s="4" t="s">
        <v>109</v>
      </c>
    </row>
    <row r="45" spans="2:21" x14ac:dyDescent="0.2">
      <c r="T45" s="23">
        <f>T39/T42</f>
        <v>0.20303144144144145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1"/>
  <sheetViews>
    <sheetView topLeftCell="A25" zoomScale="200" zoomScaleNormal="200" workbookViewId="0">
      <selection activeCell="A61" sqref="A61"/>
    </sheetView>
  </sheetViews>
  <sheetFormatPr baseColWidth="10" defaultColWidth="11.5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110</v>
      </c>
      <c r="B1" s="20" t="s">
        <v>111</v>
      </c>
      <c r="C1" s="21" t="s">
        <v>112</v>
      </c>
      <c r="D1" s="26" t="s">
        <v>113</v>
      </c>
      <c r="G1" s="32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2" t="s">
        <v>114</v>
      </c>
      <c r="H2" s="19">
        <f>AVERAGE(C3:C61)</f>
        <v>1163.848983050847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2" t="s">
        <v>115</v>
      </c>
      <c r="H3" s="19">
        <f>_xlfn.STDEV.S(C3:C61)</f>
        <v>4533.8438044752129</v>
      </c>
    </row>
    <row r="4" spans="1:8" x14ac:dyDescent="0.2">
      <c r="A4" s="18">
        <v>46188</v>
      </c>
      <c r="B4" s="20">
        <v>356930.64</v>
      </c>
      <c r="C4" s="20">
        <f t="shared" ref="C4:C61" si="0">B4-B3</f>
        <v>6713.6600000000326</v>
      </c>
      <c r="D4" s="26">
        <f t="shared" ref="D4:D61" si="1">C4/B3</f>
        <v>1.9170001408840977E-2</v>
      </c>
      <c r="G4" s="32" t="s">
        <v>116</v>
      </c>
      <c r="H4" s="22">
        <f>(H2/H3)*SQRT(252)</f>
        <v>4.0750256589102625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2" t="s">
        <v>117</v>
      </c>
      <c r="H5" s="27">
        <f>_xlfn.STDEV.S(D2:D61)*SQRT(252)</f>
        <v>0.19756878191419452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2" t="s">
        <v>118</v>
      </c>
      <c r="H6" s="27" cm="1">
        <f t="array" ref="H6">PRODUCT(1+D2:D61)-1</f>
        <v>0.20592571791335645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2" t="s">
        <v>119</v>
      </c>
      <c r="H7" s="27" cm="1">
        <f t="array" ref="H7">PRODUCT(1+D2:D61)^(252/COUNT(D2:D61))-1</f>
        <v>1.195565207449981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2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2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2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2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2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2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2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2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2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  <row r="61" spans="1:4" x14ac:dyDescent="0.2">
      <c r="A61" s="18">
        <v>46267</v>
      </c>
      <c r="B61" s="20">
        <f>B60-274+71-569+1738+320</f>
        <v>402122.72</v>
      </c>
      <c r="C61" s="20">
        <f t="shared" si="0"/>
        <v>1286</v>
      </c>
      <c r="D61" s="26">
        <f t="shared" si="1"/>
        <v>3.2082889012763106E-3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2026-09-03T20:03:25Z</dcterms:modified>
  <cp:category/>
  <cp:contentStatus/>
</cp:coreProperties>
</file>