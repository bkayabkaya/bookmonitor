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riskaya/Desktop/_bookmonitor_serve/"/>
    </mc:Choice>
  </mc:AlternateContent>
  <xr:revisionPtr revIDLastSave="0" documentId="8_{B8B84A83-C32C-7E47-8DF3-480D3C3BFB7A}" xr6:coauthVersionLast="47" xr6:coauthVersionMax="47" xr10:uidLastSave="{00000000-0000-0000-0000-000000000000}"/>
  <bookViews>
    <workbookView xWindow="0" yWindow="500" windowWidth="40960" windowHeight="23940" xr2:uid="{00000000-000D-0000-FFFF-FFFF00000000}"/>
  </bookViews>
  <sheets>
    <sheet name="Trades" sheetId="1" r:id="rId1"/>
    <sheet name="Daily PnL" sheetId="3" r:id="rId2"/>
    <sheet name="exposure" sheetId="7" r:id="rId3"/>
    <sheet name="coverage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100" i="7" l="1"/>
  <c r="V100" i="7"/>
  <c r="T100" i="7"/>
  <c r="Q100" i="7"/>
  <c r="P100" i="7"/>
  <c r="O100" i="7"/>
  <c r="N100" i="7"/>
  <c r="M100" i="7"/>
  <c r="D100" i="7"/>
  <c r="G79" i="3" a="1"/>
  <c r="G79" i="3" s="1"/>
  <c r="G78" i="3" a="1"/>
  <c r="G78" i="3" s="1"/>
  <c r="G77" i="3"/>
  <c r="G75" i="3"/>
  <c r="G74" i="3"/>
  <c r="D93" i="3"/>
  <c r="C93" i="3"/>
  <c r="B93" i="3"/>
  <c r="X70" i="1"/>
  <c r="D99" i="7"/>
  <c r="M99" i="7" s="1"/>
  <c r="O99" i="7" s="1"/>
  <c r="D67" i="1"/>
  <c r="D66" i="1"/>
  <c r="D65" i="1"/>
  <c r="D64" i="1"/>
  <c r="T63" i="1"/>
  <c r="T62" i="1"/>
  <c r="U59" i="1"/>
  <c r="T59" i="1"/>
  <c r="D92" i="3"/>
  <c r="C92" i="3"/>
  <c r="B92" i="3"/>
  <c r="D98" i="7"/>
  <c r="W97" i="7"/>
  <c r="V97" i="7"/>
  <c r="T97" i="7"/>
  <c r="S97" i="7"/>
  <c r="Q97" i="7"/>
  <c r="P97" i="7"/>
  <c r="O97" i="7"/>
  <c r="N97" i="7"/>
  <c r="M97" i="7"/>
  <c r="D97" i="7"/>
  <c r="Q62" i="1"/>
  <c r="D91" i="3"/>
  <c r="C91" i="3"/>
  <c r="B91" i="3"/>
  <c r="D90" i="3"/>
  <c r="C90" i="3"/>
  <c r="B90" i="3"/>
  <c r="W96" i="7"/>
  <c r="V96" i="7"/>
  <c r="T96" i="7"/>
  <c r="S96" i="7"/>
  <c r="Q96" i="7"/>
  <c r="P96" i="7"/>
  <c r="O96" i="7"/>
  <c r="N96" i="7"/>
  <c r="M96" i="7"/>
  <c r="D96" i="7"/>
  <c r="D95" i="7"/>
  <c r="D89" i="3"/>
  <c r="C89" i="3"/>
  <c r="B89" i="3"/>
  <c r="D88" i="3"/>
  <c r="C88" i="3"/>
  <c r="B88" i="3"/>
  <c r="T47" i="1"/>
  <c r="B87" i="3"/>
  <c r="D94" i="7"/>
  <c r="C87" i="3"/>
  <c r="D63" i="1"/>
  <c r="D62" i="1"/>
  <c r="W93" i="7"/>
  <c r="V93" i="7"/>
  <c r="T93" i="7"/>
  <c r="S93" i="7"/>
  <c r="Q93" i="7"/>
  <c r="O93" i="7"/>
  <c r="N93" i="7"/>
  <c r="M93" i="7"/>
  <c r="V70" i="1"/>
  <c r="T61" i="1"/>
  <c r="Q61" i="1"/>
  <c r="Q60" i="1"/>
  <c r="D61" i="1"/>
  <c r="D86" i="3"/>
  <c r="C86" i="3"/>
  <c r="B86" i="3"/>
  <c r="B85" i="3"/>
  <c r="W70" i="1"/>
  <c r="D92" i="7"/>
  <c r="C85" i="3"/>
  <c r="D85" i="3" s="1"/>
  <c r="T55" i="1"/>
  <c r="T54" i="1"/>
  <c r="T43" i="1"/>
  <c r="B84" i="3"/>
  <c r="T60" i="1"/>
  <c r="M91" i="7"/>
  <c r="Q91" i="7" s="1"/>
  <c r="Q47" i="1"/>
  <c r="Q43" i="1"/>
  <c r="C84" i="3"/>
  <c r="D60" i="1"/>
  <c r="W90" i="7"/>
  <c r="V90" i="7"/>
  <c r="T90" i="7"/>
  <c r="S90" i="7"/>
  <c r="O90" i="7"/>
  <c r="N90" i="7"/>
  <c r="M90" i="7"/>
  <c r="D90" i="7"/>
  <c r="D59" i="1"/>
  <c r="D83" i="3"/>
  <c r="C83" i="3"/>
  <c r="B83" i="3"/>
  <c r="T52" i="1"/>
  <c r="N99" i="7" l="1"/>
  <c r="P99" i="7" s="1"/>
  <c r="Q99" i="7"/>
  <c r="T99" i="7"/>
  <c r="V99" i="7"/>
  <c r="W99" i="7"/>
  <c r="M98" i="7"/>
  <c r="M94" i="7"/>
  <c r="G76" i="3"/>
  <c r="D87" i="3"/>
  <c r="M92" i="7"/>
  <c r="D84" i="3"/>
  <c r="T91" i="7"/>
  <c r="N91" i="7"/>
  <c r="O91" i="7"/>
  <c r="S91" i="7"/>
  <c r="V91" i="7"/>
  <c r="W91" i="7"/>
  <c r="W89" i="7"/>
  <c r="V89" i="7"/>
  <c r="T89" i="7"/>
  <c r="S89" i="7"/>
  <c r="O89" i="7"/>
  <c r="N89" i="7"/>
  <c r="M89" i="7"/>
  <c r="D89" i="7"/>
  <c r="T58" i="1"/>
  <c r="Q58" i="1"/>
  <c r="D58" i="1"/>
  <c r="T57" i="1"/>
  <c r="T56" i="1"/>
  <c r="T51" i="1"/>
  <c r="T48" i="1"/>
  <c r="D82" i="3"/>
  <c r="C82" i="3"/>
  <c r="B82" i="3"/>
  <c r="B81" i="3"/>
  <c r="C81" i="3" s="1"/>
  <c r="W88" i="7"/>
  <c r="V88" i="7"/>
  <c r="T88" i="7"/>
  <c r="S88" i="7"/>
  <c r="O88" i="7"/>
  <c r="N88" i="7"/>
  <c r="M88" i="7"/>
  <c r="D57" i="1"/>
  <c r="D56" i="1"/>
  <c r="D55" i="1"/>
  <c r="D54" i="1"/>
  <c r="D53" i="1"/>
  <c r="T53" i="1"/>
  <c r="Q57" i="1"/>
  <c r="Q56" i="1"/>
  <c r="B80" i="3"/>
  <c r="C80" i="3" s="1"/>
  <c r="W87" i="7"/>
  <c r="V87" i="7"/>
  <c r="T87" i="7"/>
  <c r="S87" i="7"/>
  <c r="M87" i="7"/>
  <c r="O87" i="7" s="1"/>
  <c r="B79" i="3"/>
  <c r="Q55" i="1"/>
  <c r="Q54" i="1"/>
  <c r="Q53" i="1"/>
  <c r="Q52" i="1"/>
  <c r="Q51" i="1"/>
  <c r="O86" i="7"/>
  <c r="W86" i="7"/>
  <c r="V86" i="7"/>
  <c r="T86" i="7"/>
  <c r="S86" i="7"/>
  <c r="N86" i="7"/>
  <c r="M86" i="7"/>
  <c r="D79" i="3"/>
  <c r="C79" i="3"/>
  <c r="D52" i="1"/>
  <c r="D51" i="1"/>
  <c r="W85" i="7"/>
  <c r="V85" i="7"/>
  <c r="T85" i="7"/>
  <c r="S85" i="7"/>
  <c r="O85" i="7"/>
  <c r="N85" i="7"/>
  <c r="M85" i="7"/>
  <c r="D85" i="7"/>
  <c r="D78" i="3"/>
  <c r="C78" i="3"/>
  <c r="B78" i="3"/>
  <c r="T50" i="1"/>
  <c r="D50" i="1"/>
  <c r="T49" i="1"/>
  <c r="V84" i="7"/>
  <c r="W84" i="7"/>
  <c r="T84" i="7"/>
  <c r="S84" i="7"/>
  <c r="O84" i="7"/>
  <c r="N84" i="7"/>
  <c r="D84" i="7"/>
  <c r="M84" i="7" s="1"/>
  <c r="D77" i="3"/>
  <c r="C77" i="3"/>
  <c r="B77" i="3"/>
  <c r="D49" i="1"/>
  <c r="D83" i="7"/>
  <c r="M83" i="7" s="1"/>
  <c r="S83" i="7" s="1"/>
  <c r="D76" i="3"/>
  <c r="C76" i="3"/>
  <c r="B76" i="3"/>
  <c r="Q48" i="1"/>
  <c r="D48" i="1"/>
  <c r="T39" i="1"/>
  <c r="T44" i="1"/>
  <c r="T46" i="1"/>
  <c r="T40" i="1"/>
  <c r="Q39" i="1"/>
  <c r="Q40" i="1"/>
  <c r="Q44" i="1"/>
  <c r="Q46" i="1"/>
  <c r="T42" i="1"/>
  <c r="Q42" i="1"/>
  <c r="T41" i="1"/>
  <c r="D47" i="1"/>
  <c r="D46" i="1"/>
  <c r="B75" i="3"/>
  <c r="D82" i="7"/>
  <c r="C75" i="3"/>
  <c r="D75" i="3" s="1"/>
  <c r="T45" i="1"/>
  <c r="B74" i="3"/>
  <c r="C74" i="3" s="1"/>
  <c r="M81" i="7"/>
  <c r="W81" i="7" s="1"/>
  <c r="D45" i="1"/>
  <c r="D44" i="1"/>
  <c r="D43" i="1"/>
  <c r="D42" i="1"/>
  <c r="D41" i="1"/>
  <c r="D80" i="7"/>
  <c r="B73" i="3"/>
  <c r="C73" i="3" s="1"/>
  <c r="T36" i="1"/>
  <c r="D40" i="1"/>
  <c r="W98" i="7" l="1"/>
  <c r="V98" i="7"/>
  <c r="Q98" i="7"/>
  <c r="P98" i="7"/>
  <c r="N98" i="7"/>
  <c r="T98" i="7"/>
  <c r="S98" i="7"/>
  <c r="O98" i="7"/>
  <c r="P94" i="7"/>
  <c r="W94" i="7"/>
  <c r="V94" i="7"/>
  <c r="T94" i="7"/>
  <c r="S94" i="7"/>
  <c r="Q94" i="7"/>
  <c r="N94" i="7"/>
  <c r="O94" i="7"/>
  <c r="V92" i="7"/>
  <c r="T92" i="7"/>
  <c r="Q92" i="7"/>
  <c r="N92" i="7"/>
  <c r="W92" i="7"/>
  <c r="S92" i="7"/>
  <c r="O92" i="7"/>
  <c r="D81" i="3"/>
  <c r="N87" i="7"/>
  <c r="D80" i="3"/>
  <c r="O81" i="7"/>
  <c r="N81" i="7"/>
  <c r="M80" i="7"/>
  <c r="T81" i="7"/>
  <c r="N83" i="7"/>
  <c r="O83" i="7"/>
  <c r="W83" i="7"/>
  <c r="T83" i="7"/>
  <c r="M82" i="7"/>
  <c r="D74" i="3"/>
  <c r="D73" i="3"/>
  <c r="T32" i="1"/>
  <c r="B72" i="3"/>
  <c r="D79" i="7"/>
  <c r="C72" i="3"/>
  <c r="D72" i="3" s="1"/>
  <c r="B71" i="3"/>
  <c r="C71" i="3"/>
  <c r="B78" i="7"/>
  <c r="D78" i="7" s="1"/>
  <c r="D39" i="1"/>
  <c r="D77" i="7"/>
  <c r="M77" i="7" s="1"/>
  <c r="D70" i="3"/>
  <c r="C70" i="3"/>
  <c r="B70" i="3"/>
  <c r="U77" i="7" l="1"/>
  <c r="T77" i="7"/>
  <c r="N77" i="7"/>
  <c r="M78" i="7"/>
  <c r="O78" i="7"/>
  <c r="O77" i="7"/>
  <c r="W80" i="7"/>
  <c r="N80" i="7"/>
  <c r="T80" i="7"/>
  <c r="O80" i="7"/>
  <c r="W82" i="7"/>
  <c r="T82" i="7"/>
  <c r="N82" i="7"/>
  <c r="O82" i="7"/>
  <c r="M79" i="7"/>
  <c r="D71" i="3"/>
  <c r="D76" i="7"/>
  <c r="T35" i="1"/>
  <c r="M76" i="7" l="1"/>
  <c r="N78" i="7"/>
  <c r="W78" i="7"/>
  <c r="T78" i="7"/>
  <c r="W79" i="7"/>
  <c r="T79" i="7"/>
  <c r="N79" i="7"/>
  <c r="O79" i="7"/>
  <c r="C75" i="7"/>
  <c r="D75" i="7" s="1"/>
  <c r="T38" i="1"/>
  <c r="T37" i="1"/>
  <c r="T34" i="1"/>
  <c r="T33" i="1"/>
  <c r="M74" i="7"/>
  <c r="O74" i="7" s="1"/>
  <c r="D38" i="1"/>
  <c r="D37" i="1"/>
  <c r="D36" i="1"/>
  <c r="D35" i="1"/>
  <c r="B66" i="3"/>
  <c r="C66" i="3" s="1"/>
  <c r="D66" i="3" s="1"/>
  <c r="D73" i="7"/>
  <c r="D72" i="7"/>
  <c r="D34" i="1"/>
  <c r="D33" i="1"/>
  <c r="B65" i="3"/>
  <c r="C65" i="3" s="1"/>
  <c r="D65" i="3" s="1"/>
  <c r="D71" i="7"/>
  <c r="M61" i="7"/>
  <c r="W61" i="7" s="1"/>
  <c r="M59" i="7"/>
  <c r="W59" i="7" s="1"/>
  <c r="M53" i="7"/>
  <c r="W53" i="7" s="1"/>
  <c r="M24" i="7"/>
  <c r="W24" i="7" s="1"/>
  <c r="D70" i="7"/>
  <c r="M70" i="7" s="1"/>
  <c r="O70" i="7" s="1"/>
  <c r="D69" i="7"/>
  <c r="M69" i="7" s="1"/>
  <c r="B40" i="7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U76" i="7" l="1"/>
  <c r="T76" i="7"/>
  <c r="N76" i="7"/>
  <c r="M75" i="7"/>
  <c r="U75" i="7" s="1"/>
  <c r="T74" i="7"/>
  <c r="U74" i="7"/>
  <c r="O76" i="7"/>
  <c r="B67" i="3"/>
  <c r="N74" i="7"/>
  <c r="R24" i="7"/>
  <c r="S24" i="7"/>
  <c r="N70" i="7"/>
  <c r="S61" i="7"/>
  <c r="Q59" i="7"/>
  <c r="S59" i="7"/>
  <c r="M71" i="7"/>
  <c r="N71" i="7" s="1"/>
  <c r="T59" i="7"/>
  <c r="T61" i="7"/>
  <c r="N61" i="7"/>
  <c r="P61" i="7"/>
  <c r="R53" i="7"/>
  <c r="Q61" i="7"/>
  <c r="S53" i="7"/>
  <c r="T53" i="7"/>
  <c r="M73" i="7"/>
  <c r="N73" i="7" s="1"/>
  <c r="M72" i="7"/>
  <c r="N72" i="7" s="1"/>
  <c r="T30" i="1"/>
  <c r="T29" i="1"/>
  <c r="T19" i="1"/>
  <c r="T31" i="1"/>
  <c r="N75" i="7" l="1"/>
  <c r="T75" i="7"/>
  <c r="O75" i="7"/>
  <c r="C67" i="3"/>
  <c r="D67" i="3" s="1"/>
  <c r="B68" i="3"/>
  <c r="O71" i="7"/>
  <c r="O73" i="7"/>
  <c r="O72" i="7"/>
  <c r="T12" i="1"/>
  <c r="T28" i="1"/>
  <c r="D28" i="1"/>
  <c r="B29" i="5"/>
  <c r="B69" i="3" l="1"/>
  <c r="C69" i="3" s="1"/>
  <c r="D69" i="3" s="1"/>
  <c r="C68" i="3"/>
  <c r="D68" i="3" s="1"/>
  <c r="D32" i="1"/>
  <c r="D31" i="1"/>
  <c r="D30" i="1"/>
  <c r="D29" i="1"/>
  <c r="T26" i="1"/>
  <c r="D22" i="1"/>
  <c r="T22" i="1"/>
  <c r="T21" i="1"/>
  <c r="T27" i="1" l="1"/>
  <c r="D26" i="1"/>
  <c r="T25" i="1" l="1"/>
  <c r="T14" i="1"/>
  <c r="D25" i="1"/>
  <c r="T20" i="1"/>
  <c r="D14" i="1"/>
  <c r="D12" i="1"/>
  <c r="D24" i="1" l="1"/>
  <c r="C4" i="3"/>
  <c r="D4" i="3" s="1"/>
  <c r="C5" i="3"/>
  <c r="D5" i="3" s="1"/>
  <c r="C6" i="3"/>
  <c r="D6" i="3" s="1"/>
  <c r="C7" i="3"/>
  <c r="D7" i="3" s="1"/>
  <c r="C8" i="3"/>
  <c r="D8" i="3" s="1"/>
  <c r="C9" i="3"/>
  <c r="D9" i="3" s="1"/>
  <c r="C10" i="3"/>
  <c r="D10" i="3" s="1"/>
  <c r="C11" i="3"/>
  <c r="D11" i="3" s="1"/>
  <c r="C12" i="3"/>
  <c r="D12" i="3" s="1"/>
  <c r="C13" i="3"/>
  <c r="D13" i="3" s="1"/>
  <c r="C14" i="3"/>
  <c r="D14" i="3" s="1"/>
  <c r="C15" i="3"/>
  <c r="D15" i="3" s="1"/>
  <c r="C16" i="3"/>
  <c r="D16" i="3" s="1"/>
  <c r="C17" i="3"/>
  <c r="D17" i="3" s="1"/>
  <c r="C18" i="3"/>
  <c r="D18" i="3" s="1"/>
  <c r="C19" i="3"/>
  <c r="D19" i="3" s="1"/>
  <c r="C20" i="3"/>
  <c r="D20" i="3" s="1"/>
  <c r="C21" i="3"/>
  <c r="D21" i="3" s="1"/>
  <c r="C22" i="3"/>
  <c r="D22" i="3" s="1"/>
  <c r="C23" i="3"/>
  <c r="D23" i="3" s="1"/>
  <c r="C24" i="3"/>
  <c r="D24" i="3" s="1"/>
  <c r="C25" i="3"/>
  <c r="D25" i="3" s="1"/>
  <c r="C26" i="3"/>
  <c r="D26" i="3" s="1"/>
  <c r="C27" i="3"/>
  <c r="D27" i="3" s="1"/>
  <c r="C28" i="3"/>
  <c r="D28" i="3" s="1"/>
  <c r="C29" i="3"/>
  <c r="D29" i="3" s="1"/>
  <c r="C30" i="3"/>
  <c r="D30" i="3" s="1"/>
  <c r="C31" i="3"/>
  <c r="D31" i="3" s="1"/>
  <c r="C32" i="3"/>
  <c r="D32" i="3" s="1"/>
  <c r="C3" i="3"/>
  <c r="B33" i="3"/>
  <c r="B34" i="3" s="1"/>
  <c r="D20" i="1"/>
  <c r="T23" i="1"/>
  <c r="D23" i="1"/>
  <c r="D21" i="1"/>
  <c r="D19" i="1"/>
  <c r="P18" i="1"/>
  <c r="P17" i="1"/>
  <c r="P16" i="1"/>
  <c r="P15" i="1"/>
  <c r="P13" i="1"/>
  <c r="P11" i="1"/>
  <c r="P10" i="1"/>
  <c r="P9" i="1"/>
  <c r="P8" i="1"/>
  <c r="P7" i="1"/>
  <c r="P6" i="1"/>
  <c r="P5" i="1"/>
  <c r="P4" i="1"/>
  <c r="P3" i="1"/>
  <c r="P2" i="1"/>
  <c r="T18" i="1"/>
  <c r="T17" i="1"/>
  <c r="D18" i="1"/>
  <c r="D17" i="1"/>
  <c r="T11" i="1"/>
  <c r="T4" i="1"/>
  <c r="T6" i="1"/>
  <c r="T15" i="1"/>
  <c r="D15" i="1"/>
  <c r="T7" i="1"/>
  <c r="D7" i="1"/>
  <c r="T8" i="1"/>
  <c r="D8" i="1"/>
  <c r="D5" i="1"/>
  <c r="D2" i="1"/>
  <c r="D13" i="1"/>
  <c r="D16" i="1"/>
  <c r="D3" i="1"/>
  <c r="D9" i="1"/>
  <c r="T5" i="1"/>
  <c r="T2" i="1"/>
  <c r="T13" i="1"/>
  <c r="T16" i="1"/>
  <c r="T3" i="1"/>
  <c r="T10" i="1"/>
  <c r="T9" i="1"/>
  <c r="E71" i="1" l="1"/>
  <c r="E70" i="1"/>
  <c r="D3" i="3"/>
  <c r="V73" i="1"/>
  <c r="V79" i="1" s="1"/>
  <c r="B35" i="3"/>
  <c r="C34" i="3"/>
  <c r="D34" i="3" s="1"/>
  <c r="C33" i="3"/>
  <c r="D33" i="3" s="1"/>
  <c r="B36" i="3" l="1"/>
  <c r="C35" i="3"/>
  <c r="D35" i="3" s="1"/>
  <c r="B37" i="3" l="1"/>
  <c r="C36" i="3"/>
  <c r="D36" i="3" l="1"/>
  <c r="C37" i="3"/>
  <c r="D37" i="3" s="1"/>
  <c r="B38" i="3"/>
  <c r="C38" i="3" l="1"/>
  <c r="B39" i="3"/>
  <c r="D38" i="3" l="1"/>
  <c r="B40" i="3"/>
  <c r="C39" i="3"/>
  <c r="D39" i="3" s="1"/>
  <c r="B41" i="3" l="1"/>
  <c r="C40" i="3"/>
  <c r="D40" i="3" l="1"/>
  <c r="C41" i="3"/>
  <c r="D41" i="3" s="1"/>
  <c r="B42" i="3"/>
  <c r="C42" i="3" l="1"/>
  <c r="D42" i="3" s="1"/>
  <c r="B43" i="3"/>
  <c r="C43" i="3" l="1"/>
  <c r="D43" i="3" s="1"/>
  <c r="B44" i="3"/>
  <c r="C44" i="3" l="1"/>
  <c r="D44" i="3" s="1"/>
  <c r="B45" i="3"/>
  <c r="B46" i="3" l="1"/>
  <c r="C45" i="3"/>
  <c r="D45" i="3" s="1"/>
  <c r="B47" i="3" l="1"/>
  <c r="C46" i="3"/>
  <c r="D46" i="3" s="1"/>
  <c r="B48" i="3" l="1"/>
  <c r="C47" i="3"/>
  <c r="D47" i="3" s="1"/>
  <c r="B49" i="3" l="1"/>
  <c r="C48" i="3"/>
  <c r="D48" i="3" s="1"/>
  <c r="C49" i="3" l="1"/>
  <c r="D49" i="3" s="1"/>
  <c r="B50" i="3"/>
  <c r="C50" i="3" l="1"/>
  <c r="D50" i="3" s="1"/>
  <c r="B51" i="3"/>
  <c r="B52" i="3" l="1"/>
  <c r="C51" i="3"/>
  <c r="D51" i="3" s="1"/>
  <c r="B53" i="3" l="1"/>
  <c r="C52" i="3"/>
  <c r="D52" i="3" s="1"/>
  <c r="C53" i="3" l="1"/>
  <c r="D53" i="3" s="1"/>
  <c r="B54" i="3"/>
  <c r="B55" i="3" l="1"/>
  <c r="C54" i="3"/>
  <c r="D54" i="3" s="1"/>
  <c r="C55" i="3" l="1"/>
  <c r="D55" i="3" s="1"/>
  <c r="B56" i="3"/>
  <c r="B57" i="3" l="1"/>
  <c r="C56" i="3"/>
  <c r="D56" i="3" s="1"/>
  <c r="C57" i="3" l="1"/>
  <c r="D57" i="3" s="1"/>
  <c r="B58" i="3"/>
  <c r="B59" i="3" l="1"/>
  <c r="C58" i="3"/>
  <c r="D58" i="3" s="1"/>
  <c r="B60" i="3" l="1"/>
  <c r="C59" i="3"/>
  <c r="D59" i="3" s="1"/>
  <c r="B61" i="3" l="1"/>
  <c r="C60" i="3"/>
  <c r="D60" i="3" s="1"/>
  <c r="C61" i="3" l="1"/>
  <c r="D61" i="3" s="1"/>
  <c r="B62" i="3"/>
  <c r="B63" i="3" l="1"/>
  <c r="C62" i="3"/>
  <c r="D62" i="3" s="1"/>
  <c r="C63" i="3" l="1"/>
  <c r="D64" i="3"/>
  <c r="D63" i="3" l="1"/>
  <c r="M95" i="7" l="1"/>
  <c r="O95" i="7" s="1"/>
  <c r="S95" i="7" l="1"/>
  <c r="N95" i="7"/>
  <c r="T95" i="7"/>
  <c r="P95" i="7"/>
  <c r="Q95" i="7"/>
  <c r="V95" i="7"/>
  <c r="W95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<sst xmlns="http://schemas.openxmlformats.org/spreadsheetml/2006/main" count="1065" uniqueCount="746">
  <si>
    <t>Trade ID</t>
  </si>
  <si>
    <t>Entry Date</t>
  </si>
  <si>
    <t>Exit Date</t>
  </si>
  <si>
    <t>Holding Period</t>
  </si>
  <si>
    <t>Symbol</t>
  </si>
  <si>
    <t>Instrument Name</t>
  </si>
  <si>
    <t>Trade Type</t>
  </si>
  <si>
    <t>Asset Class</t>
  </si>
  <si>
    <t>IB_TICKER</t>
  </si>
  <si>
    <t>Quantity</t>
  </si>
  <si>
    <t>Entry Price</t>
  </si>
  <si>
    <t>Exit Price</t>
  </si>
  <si>
    <t>Last Price</t>
  </si>
  <si>
    <t>Notional</t>
  </si>
  <si>
    <t>Comm</t>
  </si>
  <si>
    <t>Winning</t>
  </si>
  <si>
    <t>Move Captured</t>
  </si>
  <si>
    <t>Leg PnL</t>
  </si>
  <si>
    <t>Trade PnL</t>
  </si>
  <si>
    <t>Unrealized</t>
  </si>
  <si>
    <t>MU</t>
  </si>
  <si>
    <t>Micron Technologies</t>
  </si>
  <si>
    <t>Directional</t>
  </si>
  <si>
    <t>Equities</t>
  </si>
  <si>
    <t>JPM</t>
  </si>
  <si>
    <t>JP Morgan</t>
  </si>
  <si>
    <t xml:space="preserve">SI </t>
  </si>
  <si>
    <t>Silver Futures</t>
  </si>
  <si>
    <t>RV</t>
  </si>
  <si>
    <t>Futures</t>
  </si>
  <si>
    <t>SIQ6</t>
  </si>
  <si>
    <t>EUR</t>
  </si>
  <si>
    <t>Euro Futures</t>
  </si>
  <si>
    <t>QI</t>
  </si>
  <si>
    <t>Silver Futures Mini</t>
  </si>
  <si>
    <t>QIQ6</t>
  </si>
  <si>
    <t>CC</t>
  </si>
  <si>
    <t>Cocoa Futures</t>
  </si>
  <si>
    <t>CCU6</t>
  </si>
  <si>
    <t>Swiss Franc Futures</t>
  </si>
  <si>
    <t>SFU6</t>
  </si>
  <si>
    <t>IWD</t>
  </si>
  <si>
    <t>iShares Russell 1000 Value ETF</t>
  </si>
  <si>
    <t>ETFs</t>
  </si>
  <si>
    <t>IWF</t>
  </si>
  <si>
    <t>iShares Russell 1000 Growth ETF</t>
  </si>
  <si>
    <t>QO</t>
  </si>
  <si>
    <t>Gold Futures</t>
  </si>
  <si>
    <t>QOQ6</t>
  </si>
  <si>
    <t>KRE</t>
  </si>
  <si>
    <t>State Street S&amp;P Regional Banking ETF</t>
  </si>
  <si>
    <t>META</t>
  </si>
  <si>
    <t>Meta</t>
  </si>
  <si>
    <t>VXM</t>
  </si>
  <si>
    <t>VXMU6</t>
  </si>
  <si>
    <t>KC</t>
  </si>
  <si>
    <t>Coffee Futures</t>
  </si>
  <si>
    <t>KCU6</t>
  </si>
  <si>
    <t>LLY</t>
  </si>
  <si>
    <t>Eli Lilly &amp; Co</t>
  </si>
  <si>
    <t>SPCX</t>
  </si>
  <si>
    <t>SpaceX</t>
  </si>
  <si>
    <t>AAPL</t>
  </si>
  <si>
    <t>Apple</t>
  </si>
  <si>
    <t>EFA</t>
  </si>
  <si>
    <t>iShares MSCI Mid-Cap Developed Mkt Equities ETF</t>
  </si>
  <si>
    <t>OPEN</t>
  </si>
  <si>
    <t>XAI</t>
  </si>
  <si>
    <t>S&amp;P Industrials Sector Futures</t>
  </si>
  <si>
    <t>XAIU6</t>
  </si>
  <si>
    <t>TLT</t>
  </si>
  <si>
    <t>iShares 20+ Year Treasury Bond ETF</t>
  </si>
  <si>
    <t>MES</t>
  </si>
  <si>
    <t>SB</t>
  </si>
  <si>
    <t>Sugar Futures</t>
  </si>
  <si>
    <t>SBV6</t>
  </si>
  <si>
    <t>6EU6</t>
  </si>
  <si>
    <t>CAD</t>
  </si>
  <si>
    <t>Canadian Dollar Futures</t>
  </si>
  <si>
    <t>6CU6</t>
  </si>
  <si>
    <t>MGC</t>
  </si>
  <si>
    <t>MGCZ6</t>
  </si>
  <si>
    <t>NEM</t>
  </si>
  <si>
    <t>Newmont Corporation</t>
  </si>
  <si>
    <t>SLB</t>
  </si>
  <si>
    <t>SLB Limited</t>
  </si>
  <si>
    <t>ITW</t>
  </si>
  <si>
    <t>Illnois Tool Works</t>
  </si>
  <si>
    <t>PH</t>
  </si>
  <si>
    <t>Parker-Hannifin Corporation</t>
  </si>
  <si>
    <t>SHW</t>
  </si>
  <si>
    <t>Sherwin-Williams Company</t>
  </si>
  <si>
    <t>VZ</t>
  </si>
  <si>
    <t>Verizon</t>
  </si>
  <si>
    <t>Avg Holding Period for Daily/Weekly/Monthly Signals:</t>
  </si>
  <si>
    <t>Avg Holding Period for Daily + Weekly Signals:</t>
  </si>
  <si>
    <t>Total Realized</t>
  </si>
  <si>
    <t>Total Unrealized</t>
  </si>
  <si>
    <t>Net PnL</t>
  </si>
  <si>
    <t>Starting Account Balance</t>
  </si>
  <si>
    <t>RoC</t>
  </si>
  <si>
    <t>Date</t>
  </si>
  <si>
    <t>Account Balance</t>
  </si>
  <si>
    <t>PnL</t>
  </si>
  <si>
    <t>Return</t>
  </si>
  <si>
    <t>Mean daily PnL</t>
  </si>
  <si>
    <t>Daily PnL std</t>
  </si>
  <si>
    <t>Ann. Sharpe</t>
  </si>
  <si>
    <t>Ann. Volatility</t>
  </si>
  <si>
    <t>Cumulative Return</t>
  </si>
  <si>
    <t>Ann. Return</t>
  </si>
  <si>
    <t xml:space="preserve">Currencies </t>
  </si>
  <si>
    <t>Rates</t>
  </si>
  <si>
    <t>Indices</t>
  </si>
  <si>
    <t>Metals</t>
  </si>
  <si>
    <t>Agricultural</t>
  </si>
  <si>
    <t>Energy</t>
  </si>
  <si>
    <t>US Equity</t>
  </si>
  <si>
    <t>S&amp;P Sector Indices - All CME</t>
  </si>
  <si>
    <t>Europe Equity</t>
  </si>
  <si>
    <t>Japan Equity</t>
  </si>
  <si>
    <t>ETF</t>
  </si>
  <si>
    <t>Spreads</t>
  </si>
  <si>
    <t>Dollar Index</t>
  </si>
  <si>
    <t>CA 2-Year</t>
  </si>
  <si>
    <t>ES - S&amp;P E-Mini - CME</t>
  </si>
  <si>
    <t>GC - Gold - COMEX</t>
  </si>
  <si>
    <t>ZW - Wheat - CBOT</t>
  </si>
  <si>
    <t>CL - Crude Oil - NYMEX</t>
  </si>
  <si>
    <t>AAPL - Apple - Nasdaq</t>
  </si>
  <si>
    <t>XAZ - Communications</t>
  </si>
  <si>
    <t>ABI - Anheuser-Busch InBev - Euronext Brussels</t>
  </si>
  <si>
    <t>j4063 - Shin-Etsu Chemical - TSE</t>
  </si>
  <si>
    <t>EEM - iShares MSCI Emerging Index Fund - NYSE Arca</t>
  </si>
  <si>
    <t>ES-RTY - S&amp;P vs Russell</t>
  </si>
  <si>
    <t>6E - EUR - CME</t>
  </si>
  <si>
    <t>CA 10-Year</t>
  </si>
  <si>
    <t>NQ - Nasdaq - CME</t>
  </si>
  <si>
    <t>SI - Silver - COMEX</t>
  </si>
  <si>
    <t>ZC - Corn - CBOT</t>
  </si>
  <si>
    <t>NG - Natural Gas - NYMEX</t>
  </si>
  <si>
    <t>ABBV - AbbVie - NYSE</t>
  </si>
  <si>
    <t>XAY - Consumer Discretionary</t>
  </si>
  <si>
    <t xml:space="preserve">ABBN - ABB Ltd - SIX </t>
  </si>
  <si>
    <t>j4502 - Takeda Pharmaceuticals - TSE</t>
  </si>
  <si>
    <t>EFA - iShares MSCI EAFE(Europe, Australasia and Far East)  ETF - NYSE Arca</t>
  </si>
  <si>
    <t>DAX-ES - Dax vs S&amp;P</t>
  </si>
  <si>
    <t>6C - CAD - CME</t>
  </si>
  <si>
    <t>CA 30-Year</t>
  </si>
  <si>
    <t>YM - Dow - CME</t>
  </si>
  <si>
    <t>xauxag - Gold/Silver Ratio COMEX</t>
  </si>
  <si>
    <t>ZS - Soybeans - CBOT</t>
  </si>
  <si>
    <t>ABNB - AirBNB - Nasdaq</t>
  </si>
  <si>
    <t>XAP - Consumer Staples</t>
  </si>
  <si>
    <t>ACA - Credit Agricole - Euronext Paris</t>
  </si>
  <si>
    <t>j4519 - Chugai Pharmeceuticals - TSE</t>
  </si>
  <si>
    <t>GDX - VanEck Gold Miners ETF - NYSE Arca</t>
  </si>
  <si>
    <t>US10-US2 - Slope of the US Curve</t>
  </si>
  <si>
    <t>6J - JPY - CME</t>
  </si>
  <si>
    <t>ZT - US 2-Year - CBOT</t>
  </si>
  <si>
    <t>RTY - Russell - CME</t>
  </si>
  <si>
    <t>HG - Copper - COMEX</t>
  </si>
  <si>
    <t>SB - Sugar - ICE US</t>
  </si>
  <si>
    <t>ABT - Abbott Laboratories - NYSE</t>
  </si>
  <si>
    <t>XAF - Financials</t>
  </si>
  <si>
    <t>AD - Ahold Delhaize - Euronext Amsterdam</t>
  </si>
  <si>
    <t>j4568 - Daiichi Sankyo - TSE</t>
  </si>
  <si>
    <t>GLD - SPDR Gold Shares - NYSE Arca</t>
  </si>
  <si>
    <t>US30-US10 - Slope of the US Curve Long end</t>
  </si>
  <si>
    <t>6B - GBP - CME</t>
  </si>
  <si>
    <t>ZN - US 10-Year - CBOT</t>
  </si>
  <si>
    <t>NKD - Nikkei - TSE</t>
  </si>
  <si>
    <t>PL - Platinum - COMEX</t>
  </si>
  <si>
    <t>KC - Coffee - ICE US</t>
  </si>
  <si>
    <t>ACN - Accenture - NYSE</t>
  </si>
  <si>
    <t>XAE - Energy</t>
  </si>
  <si>
    <t>ADS - Adidas - XETR</t>
  </si>
  <si>
    <t>j6098 - Recruit Holdings - TSE</t>
  </si>
  <si>
    <t>IEF - iShares 7-10 Year Treasury Bond ETF - Nasdaq</t>
  </si>
  <si>
    <t>JP10-US10 - JGB vs UST spread</t>
  </si>
  <si>
    <t>6A - AUD - CME</t>
  </si>
  <si>
    <t>ZB - US 30-Year - CBOT</t>
  </si>
  <si>
    <t>DAX - Dax - Eurex</t>
  </si>
  <si>
    <t>PA - Palladium - COMEX</t>
  </si>
  <si>
    <t>CC - Cocoa - ICE US</t>
  </si>
  <si>
    <t>ADBE - Adobe - Nasdaq</t>
  </si>
  <si>
    <t>XAV - Healthcare</t>
  </si>
  <si>
    <t>ADYEN - Adyen NV - Euronext Amsterdam</t>
  </si>
  <si>
    <t>j6146 - Disco Corporation - TSE</t>
  </si>
  <si>
    <t>IWM - iShares Russell 2000 Index Fund - NYSE Arca</t>
  </si>
  <si>
    <t>Copper/Gold - Copper Gold Ratio</t>
  </si>
  <si>
    <t>6S - CHF - CME</t>
  </si>
  <si>
    <t>Bund - Euro Bund - EUREX</t>
  </si>
  <si>
    <t>XU100 - BIST 100 - BIST</t>
  </si>
  <si>
    <t>OJ - Orange Juice - ICE US</t>
  </si>
  <si>
    <t>ADP - Automatic Data Processing - Nasdaq</t>
  </si>
  <si>
    <t>XAI - Industrials</t>
  </si>
  <si>
    <t>AI - Air Liquide SA - Euronext Paris</t>
  </si>
  <si>
    <t>j6301 - Komatsu - TSE</t>
  </si>
  <si>
    <t>KRE - State Street SPDR S&amp;P Regional Banking ETF - NYSE Arca</t>
  </si>
  <si>
    <t>ES/TLT - Equities vs Bonds</t>
  </si>
  <si>
    <t>Schatz - Euro Schatz - EUREX</t>
  </si>
  <si>
    <t>Vix - CBOE</t>
  </si>
  <si>
    <t>CT - Cotton - ICE US</t>
  </si>
  <si>
    <t>ADSK - Autodesk - Nasdaq</t>
  </si>
  <si>
    <t>XAB - Materials</t>
  </si>
  <si>
    <t>AIR - Airbus SE - Euronext Paris</t>
  </si>
  <si>
    <t>j6501 - Hitachi - TSE</t>
  </si>
  <si>
    <t>MTUM - iShares MSCI USA Momentum Factor ETF - CBOE</t>
  </si>
  <si>
    <t>TIP/IEF - Inflation Breakeven Proxy TIPs vs Nominal Treasuries</t>
  </si>
  <si>
    <t>Bobl - Euro Bobl - EUREX</t>
  </si>
  <si>
    <t>OVX - Oil Vol</t>
  </si>
  <si>
    <t>AFL - Aflac - NYSE</t>
  </si>
  <si>
    <t>XAR - Real Estate</t>
  </si>
  <si>
    <t>ALV - Allianz SE - XETR</t>
  </si>
  <si>
    <t>j6723 - Renesas Electronics - TSE</t>
  </si>
  <si>
    <t>RSP - Invesco S&amp;P500 Equal Weight ETF - NYSE Arca</t>
  </si>
  <si>
    <t>IWM/ES - Growth stocks vs S&amp;P overall</t>
  </si>
  <si>
    <t>Buxl - Euro Buxl - EUREX</t>
  </si>
  <si>
    <t>GVX - Gold Vol</t>
  </si>
  <si>
    <t>AMAT - Applied Materials - Nasdaq</t>
  </si>
  <si>
    <t>XAK - Technology</t>
  </si>
  <si>
    <t>AMS - Amadeus IT Group - BME</t>
  </si>
  <si>
    <t>j6752 - Panasonic Holdings - TSE</t>
  </si>
  <si>
    <t>SMH - VanEck Semiconductor ETF - Nasdaq</t>
  </si>
  <si>
    <t>IWM/IWF - Growth stocks vs US Large Caps</t>
  </si>
  <si>
    <t>AMD - Advanced Micro Devices - Nasdaq</t>
  </si>
  <si>
    <t>XAU - Utilities</t>
  </si>
  <si>
    <t>ASML - ASML Holding NV - Euronext Amsterdam</t>
  </si>
  <si>
    <t>j6758 - Sony Group - TSE</t>
  </si>
  <si>
    <t>TIP - iShares TIPS Bond ETF - NYSE Arca</t>
  </si>
  <si>
    <t>IWD/IWF - Value vs Growth stocks in US Large Caps</t>
  </si>
  <si>
    <t>AMGN - Amgen - Nasdaq</t>
  </si>
  <si>
    <t>AZN - AstraZeneca PLC - LSE</t>
  </si>
  <si>
    <t>j6857 - Advantest Corp - TSE</t>
  </si>
  <si>
    <t>TLT - iShares 20+ Year Treasury Bond ETF - Nasdaq</t>
  </si>
  <si>
    <t>EEM/EFA - Emerging vs Developed Markets Equity</t>
  </si>
  <si>
    <t>AMP - Ameriprise Financial - NYSE</t>
  </si>
  <si>
    <t>BARC - Barclays PLC - LSE</t>
  </si>
  <si>
    <t>j6861 - Keyence Corp - TSE</t>
  </si>
  <si>
    <t>VGK - Vanguard FTSEEuropean ETF - NYSE Arca</t>
  </si>
  <si>
    <t>GDX/GLD - Gold Miners vs Gold Shares</t>
  </si>
  <si>
    <t>AMT - American Tower - NYSE</t>
  </si>
  <si>
    <t>BAS - Basf SE - XETR</t>
  </si>
  <si>
    <t>j6902 - Denso Corp - TSE</t>
  </si>
  <si>
    <t>VLUE - iShares MSCI USA Value Factor ETF - CBOE</t>
  </si>
  <si>
    <t>Soybeans/Corn - Soybean-Corn Ratio</t>
  </si>
  <si>
    <t>AMZN - Amazon - Nasdaq</t>
  </si>
  <si>
    <t>BAYN - Bayer AG - XETR</t>
  </si>
  <si>
    <t>j6954 - Fanuc Corp - TSE</t>
  </si>
  <si>
    <t>VMBS - Vanguard Mortgage-Backed Securities ETF - Nasdaq</t>
  </si>
  <si>
    <t>XLE/XLU - Energy vs Utilities (Cyclical vs Defensive)</t>
  </si>
  <si>
    <t>Currencies</t>
  </si>
  <si>
    <t>ANET - Arista Networks - NYSE</t>
  </si>
  <si>
    <t>BBVA - Banco Bilbao Vizcaya Argentaria - BME</t>
  </si>
  <si>
    <t>j6981 - Murata Manufacturing - TSE</t>
  </si>
  <si>
    <t>XLE - State Street Energy Select Sector SPDR ETF - NYSE Arca</t>
  </si>
  <si>
    <t>Natgas/WTI - Natgas vs Crude Oil Ratio</t>
  </si>
  <si>
    <t>AON - AON - NYSE</t>
  </si>
  <si>
    <t>BGN - Banca Generali Spa - MIL</t>
  </si>
  <si>
    <t>j7203 - Toyota Motor Corp - TSE</t>
  </si>
  <si>
    <t>XLF - State Street Financial Select Sector SPDR ETF - NYSE Arca</t>
  </si>
  <si>
    <t>SMH/NQ - Semiconductors vs Nasdaq Overall</t>
  </si>
  <si>
    <t>APO - Apollo Global Management - NYSE</t>
  </si>
  <si>
    <t>BMW - Bayerische Motoren Werke AG - XETR</t>
  </si>
  <si>
    <t>j7267 - Honda Motor Corp - TSE</t>
  </si>
  <si>
    <t>XLP - State Street Consumer Staples Select Sector SPDR ETF - NYSE Arca</t>
  </si>
  <si>
    <t>XLY/XLP - Discretionary vs Staples (Cyclical vs Defensive)</t>
  </si>
  <si>
    <t>AVGO - Broadcom - Nasdaq</t>
  </si>
  <si>
    <t>BN - Danone SA - Euronext Paris</t>
  </si>
  <si>
    <t>j7741 - Hoya Corp - TSE</t>
  </si>
  <si>
    <t>XLU - State Street Utilities Select Sector SPDR ETF - NYSE Arca</t>
  </si>
  <si>
    <t>KRE/XLF - Regional Banks vs Broad Financials</t>
  </si>
  <si>
    <t>AZO - AutoZone - NYSE</t>
  </si>
  <si>
    <t>BNP - BNP Paribas - Euronext Paris</t>
  </si>
  <si>
    <t>j7974 - Nintendo Corp - TSE</t>
  </si>
  <si>
    <t>XLY - State Street Consumer Discretionary Select Sector SPDR ETF - NYSE Arca</t>
  </si>
  <si>
    <t>RSP/ES - Equal Weighted vs Cap Weighted S&amp;P</t>
  </si>
  <si>
    <t>BA - Boeing Company - NYSE</t>
  </si>
  <si>
    <t>BP. - BP plc - LSE</t>
  </si>
  <si>
    <t>j8001 - Itochu Corporation - TSE</t>
  </si>
  <si>
    <t>MTUM/VLUE - Momentum vs Value</t>
  </si>
  <si>
    <t>BAC - Bank of America - NYSE</t>
  </si>
  <si>
    <t>CABK - Caixabank - BME</t>
  </si>
  <si>
    <t>j8031 - Mitsui &amp; Co - TSE</t>
  </si>
  <si>
    <t>ES/VGK - US vs Europe Equity</t>
  </si>
  <si>
    <t>S&amp;P Sector Indices</t>
  </si>
  <si>
    <t>BDX - Becton, Dickinson and Co - NYSE</t>
  </si>
  <si>
    <t>CAP - Capgemini SE - Euronext Paris</t>
  </si>
  <si>
    <t>j8035 - Tokyo Electron - TSE</t>
  </si>
  <si>
    <t>BKNG - Booking Holdings - Nasdaq</t>
  </si>
  <si>
    <t>CBK - Commerzbank AG - XETR</t>
  </si>
  <si>
    <t>j8058 - Mitsubishi Corporation - TSE</t>
  </si>
  <si>
    <t>BNY - Bank of NY Mellon Corp - NYSE</t>
  </si>
  <si>
    <t xml:space="preserve">CFR - Compagnie Financiere Richemont - SIX </t>
  </si>
  <si>
    <t>j8306 - Mitsubishi UFJ Financial - TSE</t>
  </si>
  <si>
    <t>BX - Blackstone - NYSE</t>
  </si>
  <si>
    <t>CLNX - Cellnex Telecom SA - BME</t>
  </si>
  <si>
    <t>j8316 - Sumitomo Mitsui Financial- TSE</t>
  </si>
  <si>
    <t>CARR - Carrier Global Corporation - NYSE</t>
  </si>
  <si>
    <t>CS - AXA - Euronext Paris</t>
  </si>
  <si>
    <t>j8411 - Mizuho Financial - TSE</t>
  </si>
  <si>
    <t>Total symbols</t>
  </si>
  <si>
    <t>CAT - Caterpillar - NYSE</t>
  </si>
  <si>
    <t>DB1 - Deutsche Boerse - XETR</t>
  </si>
  <si>
    <t>j8766 - Tokio Marine Holdings - TSE</t>
  </si>
  <si>
    <t>CDNS - Cadence Design Systems - Nasdaq</t>
  </si>
  <si>
    <t>DBK - Deutsche Bank - XETR</t>
  </si>
  <si>
    <t>j9432 - NTT Inc - TSE</t>
  </si>
  <si>
    <t>CIEN - Ciena Corporation - NYSE</t>
  </si>
  <si>
    <t>DG - Vinci SA - Euronext Paris</t>
  </si>
  <si>
    <t>j9433 - KDDI Corp - TSE</t>
  </si>
  <si>
    <t>CMCSA - Comcasr Corporation - Nasdaq</t>
  </si>
  <si>
    <t>DGE - Diageo - LSE</t>
  </si>
  <si>
    <t>j9983 - Fast Retailing - TSE</t>
  </si>
  <si>
    <t>CMI - Cummins Inc - NYSE</t>
  </si>
  <si>
    <t>DHL - Deutsche Post - XETR</t>
  </si>
  <si>
    <t>j9984 - Softbank Group - TSE</t>
  </si>
  <si>
    <t>COKE - Coca Cola - Nasdaq</t>
  </si>
  <si>
    <t>DTE - Deutsche Telekom - XETR</t>
  </si>
  <si>
    <t>COP - ConocoPhillips - NYSE</t>
  </si>
  <si>
    <t>EBS - Erste Group Bank - VIE</t>
  </si>
  <si>
    <t>COST - Costco - Nasdaq</t>
  </si>
  <si>
    <t>EL - EssilorLuxottica - Euronext Paris</t>
  </si>
  <si>
    <t>CRM - SalesForce - NYSE</t>
  </si>
  <si>
    <t>ELE - Endesa - BME</t>
  </si>
  <si>
    <t>CRWD - CrowdStrike Holdings - Nasdaq</t>
  </si>
  <si>
    <t>ENEL - Enel - MIL</t>
  </si>
  <si>
    <t>CSCO - Cisco Systems - Nasdaq</t>
  </si>
  <si>
    <t>ENI - Eni - MIL</t>
  </si>
  <si>
    <t>CTAS - Cintas Corporation - Nasdaq</t>
  </si>
  <si>
    <t>ENGI - Engie - Euronext Paris</t>
  </si>
  <si>
    <t>CTVA - Corteva Inc - NYSE</t>
  </si>
  <si>
    <t>ENR - Siemens Energy - XETR</t>
  </si>
  <si>
    <t>CVNA - Carvana Co - NYSE</t>
  </si>
  <si>
    <t>EOAN - E.ON - XETR</t>
  </si>
  <si>
    <t>CVX - Chevron Corporation - NYSE</t>
  </si>
  <si>
    <t>FER - Ferrovial - BME</t>
  </si>
  <si>
    <t>DAL - Delta Airlines - NYSE</t>
  </si>
  <si>
    <t>HEI - Heidelberg Materials - XETR</t>
  </si>
  <si>
    <t>DDOG - Datadog - Nasdaq</t>
  </si>
  <si>
    <t>HEIA - Heineken - Euronext Amsterdam</t>
  </si>
  <si>
    <t>DE - Deere &amp; Company - NYSE</t>
  </si>
  <si>
    <t>HO - Thales - Euronext Paris</t>
  </si>
  <si>
    <t>DELL - Dell Computer - NYSE</t>
  </si>
  <si>
    <t>HOLN - Holcim - SIX</t>
  </si>
  <si>
    <t>DIS - Disney - NYSE</t>
  </si>
  <si>
    <t>HSBA - HSBC Holdings - LSE</t>
  </si>
  <si>
    <t>EBAY - Ebay - Nasdaq</t>
  </si>
  <si>
    <t>GLE - Societe Generale - Euronext Paris</t>
  </si>
  <si>
    <t>ECL - Ecolab - NYSE</t>
  </si>
  <si>
    <t>GSK - GlaxoSmithKlein - LSE</t>
  </si>
  <si>
    <t>ELV - Elevance Health - NYSE</t>
  </si>
  <si>
    <t>IBE - Iberdrola - BME</t>
  </si>
  <si>
    <t>EMR - Emerson Electric Company - NYSE</t>
  </si>
  <si>
    <t>IFX - Infineon Technologies - XETR</t>
  </si>
  <si>
    <t>EOG - EOG Resources - NYSE</t>
  </si>
  <si>
    <t>INGA - ING Groep - Euronext Amsterdam</t>
  </si>
  <si>
    <t>EQIX - Equinix - Nasdaq</t>
  </si>
  <si>
    <t>ISP - Intesa Sanpaolo - MIL</t>
  </si>
  <si>
    <t>ETN - Eaton Corporation - NYSE</t>
  </si>
  <si>
    <t>KBC - KBC Group - Euronext Brussels</t>
  </si>
  <si>
    <t>EW - Edwards Lifesciences - NYSE</t>
  </si>
  <si>
    <t>KER - Kering - Euronext Paris</t>
  </si>
  <si>
    <t>EXC - Exelon Corporation - Nasdaq</t>
  </si>
  <si>
    <t>KNIN - Kuehne &amp; Nagel - SIX</t>
  </si>
  <si>
    <t>F - Ford Motor Company - NYSE</t>
  </si>
  <si>
    <t>LONN - Lonza Group - SIX</t>
  </si>
  <si>
    <t>FAST - Fastenal Company - Nasdaq</t>
  </si>
  <si>
    <t>MBG - Mercedes-Benz Group - XETR</t>
  </si>
  <si>
    <t>FCX - Freeport-McMoran - NYSE</t>
  </si>
  <si>
    <t>MC - LVMH Moet Hennessy Louis Vuitton - Euronext Paris</t>
  </si>
  <si>
    <t>FITB - Fifth Third Bancorp - NYSE</t>
  </si>
  <si>
    <t>ML - Michelin - Euronext Paris</t>
  </si>
  <si>
    <t>FIX - Comfort Systems - NYSE</t>
  </si>
  <si>
    <t>MONC - Moncler - MIL</t>
  </si>
  <si>
    <t>FTNT - Fortinet - Nasdaq</t>
  </si>
  <si>
    <t>MT - ArcelorMittal - Euronext Amsterdam</t>
  </si>
  <si>
    <t>GD - General Dynamics Corp - NYSE</t>
  </si>
  <si>
    <t>NESN - Nestle - SIX</t>
  </si>
  <si>
    <t>GE - GE Aerospace - NYSE</t>
  </si>
  <si>
    <t>NOVN - Novartis - SIX</t>
  </si>
  <si>
    <t>GEV - GE Vernova - NYSE</t>
  </si>
  <si>
    <t>OR - L'Oreal - Euronext Paris</t>
  </si>
  <si>
    <t>GILD - Gilead Sciences - Nasdaq</t>
  </si>
  <si>
    <t>ORA - Orange - Euronext Paris</t>
  </si>
  <si>
    <t>GM - General Motors - NYSE</t>
  </si>
  <si>
    <t>PHIA - Phillips - Euronext Amsterdam</t>
  </si>
  <si>
    <t>GOOG - Alphabet - Nasdaq</t>
  </si>
  <si>
    <t>PRY - Prysmian - MIL</t>
  </si>
  <si>
    <t>GS - Goldman Sachs - NYSE</t>
  </si>
  <si>
    <t>PRX - Prosus - Euronext Amsterdam</t>
  </si>
  <si>
    <t>HCA - HCA Healthcare - NYSE</t>
  </si>
  <si>
    <t>RACE - Ferrari - MIL</t>
  </si>
  <si>
    <t>HD - Home Depot - NYSE</t>
  </si>
  <si>
    <t>REP - Repsol - BME</t>
  </si>
  <si>
    <t>HLT - Hilton Worldwide Holdings - NYSE</t>
  </si>
  <si>
    <t>RHM - Rheinmetal - XETR</t>
  </si>
  <si>
    <t>HON - Honeywell International - Nasdaq</t>
  </si>
  <si>
    <t>RMS - Hermes International - Euronext Paris</t>
  </si>
  <si>
    <t>HONA - Honeywell Aerospace - Nasdaq</t>
  </si>
  <si>
    <t>RIO - Rio Tinto - LSE</t>
  </si>
  <si>
    <t>HOOD - Robin Hood Markets - Nasdaq</t>
  </si>
  <si>
    <t>RO - Roche Holding - SIX</t>
  </si>
  <si>
    <t>HPE - Hewlett Packard Enterprise - NYSE</t>
  </si>
  <si>
    <t>RWE - RWE - XETR</t>
  </si>
  <si>
    <t>HWM - Howmet Aerospace - NYSE</t>
  </si>
  <si>
    <t>SAF - Safran - Euronext Paris</t>
  </si>
  <si>
    <t>IBM - IBM - NYSE</t>
  </si>
  <si>
    <t>SAND - Sandvik - OMX Stockholm</t>
  </si>
  <si>
    <t>ICE - Intercontinental Exchange - NYSE</t>
  </si>
  <si>
    <t>SANOFI - Sanofi - Euronext Paris</t>
  </si>
  <si>
    <t>INTC - Intel Corporation - Nasdaq</t>
  </si>
  <si>
    <t>SANTANDER - Banco Santander - BME</t>
  </si>
  <si>
    <t>INTU - Intuit - Nasdaq</t>
  </si>
  <si>
    <t>SAP - SAP - XETR</t>
  </si>
  <si>
    <t>ITW - Illnois Tool Works - NYSE</t>
  </si>
  <si>
    <t>SHEL - Shell - LSE</t>
  </si>
  <si>
    <t>JCI - Johnson Controls International - NYSE</t>
  </si>
  <si>
    <t>SIE - Siemens - XETR</t>
  </si>
  <si>
    <t>JNJ - Johnson &amp; Johnson - NYSE</t>
  </si>
  <si>
    <t>SIKA - Sika - SIX</t>
  </si>
  <si>
    <t>JPM - JP Morgan - NYSE</t>
  </si>
  <si>
    <t>SREN - Swiss Re - SIX</t>
  </si>
  <si>
    <t>KEYS - Keysight Technologies - NYSE</t>
  </si>
  <si>
    <t>STLAP - Stellantis - MIL</t>
  </si>
  <si>
    <t>KKR - KKR &amp; Co - NYSE</t>
  </si>
  <si>
    <t>SU - Schneider Electric - Euronext Paris</t>
  </si>
  <si>
    <t>KMI - Kinder Morgan - NYSE</t>
  </si>
  <si>
    <t>TEF - Telefonica - BME</t>
  </si>
  <si>
    <t>LHX - L3Harris Technologies - NYSE</t>
  </si>
  <si>
    <t>TRN - Terna - MIL</t>
  </si>
  <si>
    <t>LIN - Linde plc - Nasdaq</t>
  </si>
  <si>
    <t>TTE - Total Energies - Euronext Paris</t>
  </si>
  <si>
    <t>LITE - Lumentum Holdings - Nasdaq</t>
  </si>
  <si>
    <t>UBSG - UBS Group - SIX</t>
  </si>
  <si>
    <t>LLY - Eli Lilly and company - NYSE</t>
  </si>
  <si>
    <t>UCG - Unicredit - MIL</t>
  </si>
  <si>
    <t>LMT - Lockheed Martin Corporation - NYSE</t>
  </si>
  <si>
    <t>ULVR - Unilever - LSE</t>
  </si>
  <si>
    <t>LOW - Lowes Companies - NYSE</t>
  </si>
  <si>
    <t>VOW - Volkswagen - XETR</t>
  </si>
  <si>
    <t>LRCX - LAM Research Corporation - Nasdaq</t>
  </si>
  <si>
    <t>VWS - Vestas Wind Systems - OMX Copenhagen</t>
  </si>
  <si>
    <t>MA - Mastercard - NYSE</t>
  </si>
  <si>
    <t>WKL - Wolters Kluwer - Euronext Amsterdam</t>
  </si>
  <si>
    <t>MAR - Marriott International - Nasdaq</t>
  </si>
  <si>
    <t>ZURN - Zurich Insurance - SIX</t>
  </si>
  <si>
    <t>MCD - McDonalds - NYSE</t>
  </si>
  <si>
    <t>MCHP - Microchip Technology - Nasdaq</t>
  </si>
  <si>
    <t>MCK - McKesson Corp - NYSE</t>
  </si>
  <si>
    <t>MDLZ - Mondelez International - Nasdaq</t>
  </si>
  <si>
    <t>MDT - Medtronic - NYSE</t>
  </si>
  <si>
    <t>META - META Platforms - Nasdaq</t>
  </si>
  <si>
    <t>MMM - 3M Company - NYSE</t>
  </si>
  <si>
    <t>MNST - Monster Beverage - Nasdaq</t>
  </si>
  <si>
    <t>MO - Altria Group - NYSE</t>
  </si>
  <si>
    <t>MRK - Merck &amp; Company - NYSE</t>
  </si>
  <si>
    <t>MRNA - Moderna - Nasdaq</t>
  </si>
  <si>
    <t>MRSH - Marsh - NYSE</t>
  </si>
  <si>
    <t>MS - Morgan Stanley - NYSE</t>
  </si>
  <si>
    <t>MSFT - Microsoft - Nasdaq</t>
  </si>
  <si>
    <t>MU - Micron Technologies - Nasdaq</t>
  </si>
  <si>
    <t>NEM - Newmont Corporation - NYSE</t>
  </si>
  <si>
    <t>NFLX - Netflix - Nasdaq</t>
  </si>
  <si>
    <t>NKE - Nike - NYSE</t>
  </si>
  <si>
    <t>NOC - Northrop Grumman Corp - NYSE</t>
  </si>
  <si>
    <t>NSC - Norfolk Southern Corp - NYSE</t>
  </si>
  <si>
    <t>NUE - Nucor Corporation - NYSE</t>
  </si>
  <si>
    <t>NXPI - NXP Semiconductors - Nasdaq</t>
  </si>
  <si>
    <t>NVDA - NVIDIA Corporation - Nasdaq</t>
  </si>
  <si>
    <t>ODFL - Old Dominion Freight Line - Nasdaq</t>
  </si>
  <si>
    <t>QCOM - Qualcomm - Nasdaq</t>
  </si>
  <si>
    <t>PANW - Palo Alto Networks - Nasdaq</t>
  </si>
  <si>
    <t>PEP - Pepsi - NYSE</t>
  </si>
  <si>
    <t>PFE - Pfizer - NYSE</t>
  </si>
  <si>
    <t>PH - Parker Hannifin Corp - NYSE</t>
  </si>
  <si>
    <t>PLD - Prologis - NYSE</t>
  </si>
  <si>
    <t>PG - Procter &amp; Gamble - NYSE</t>
  </si>
  <si>
    <t>PLTR - Palantir - Nasdaq</t>
  </si>
  <si>
    <t>PRU - Prudential Financial - NYSE</t>
  </si>
  <si>
    <t>PWR - Quanta Services - NYSE</t>
  </si>
  <si>
    <t>RCL - Royal Caribbean Cruises - NYSE</t>
  </si>
  <si>
    <t>REGN - Regeneron Pharmaceuticals - Nasdaq</t>
  </si>
  <si>
    <t>ROP - Roper Technologies - Nasdaq</t>
  </si>
  <si>
    <t>ORCL - Oracle - NYSE</t>
  </si>
  <si>
    <t>SBUX - Starbucks - Nasdaq</t>
  </si>
  <si>
    <t>SHW - Sherwin-Williams Company - NYSE</t>
  </si>
  <si>
    <t>SLB - SLB Limited - NYSE</t>
  </si>
  <si>
    <t>SNPS - Synopsys - Nasdaq</t>
  </si>
  <si>
    <t>SO - Southern Company - NYSE</t>
  </si>
  <si>
    <t>SPCX - SpaceX - Nasdaq</t>
  </si>
  <si>
    <t>SRE - DBA Sempra - NYSE</t>
  </si>
  <si>
    <t>TER - Teradyne Inc - Nasdaq</t>
  </si>
  <si>
    <t>TGT - Target Corp - NYSE</t>
  </si>
  <si>
    <t>TMO - Thermo Fisher Scientific - NYSE</t>
  </si>
  <si>
    <t>TRV - The Travelers Companies - NYSE</t>
  </si>
  <si>
    <t>TSLA - Tesla - Nasdaq</t>
  </si>
  <si>
    <t>TT - Trane Technologies - NYSE</t>
  </si>
  <si>
    <t>TXN - Texas Instruments - Nasdaq</t>
  </si>
  <si>
    <t>UBER - Uber - NYSE</t>
  </si>
  <si>
    <t>UNH - United Health - NYSE</t>
  </si>
  <si>
    <t>UPS - United Parcel Service - NYSE</t>
  </si>
  <si>
    <t>USB - US Bancorp - NYSE</t>
  </si>
  <si>
    <t>V - Visa - NYSE</t>
  </si>
  <si>
    <t>VST - Vistra Corp - NYSE</t>
  </si>
  <si>
    <t>VTR - Ventas Inc - NYSE</t>
  </si>
  <si>
    <t>VZ - Verizon - NYSE</t>
  </si>
  <si>
    <t>WBD - Warner Bros Discovery - Nasdaq</t>
  </si>
  <si>
    <t>WM - Waste Management - NYSE</t>
  </si>
  <si>
    <t>WMB - Williams Companies - NYSE</t>
  </si>
  <si>
    <t>WMT - Walmart - Nasdaq</t>
  </si>
  <si>
    <t>XOM - Exxon Mobile - NYSE</t>
  </si>
  <si>
    <t>XYZ - Block Inc - NYSE</t>
  </si>
  <si>
    <t>Balance</t>
  </si>
  <si>
    <t>Equity</t>
  </si>
  <si>
    <t>Cash</t>
  </si>
  <si>
    <t>Total Exposure</t>
  </si>
  <si>
    <t>Equity_Exposure</t>
  </si>
  <si>
    <t>Cash_Exposure</t>
  </si>
  <si>
    <t>ETF_Exposure</t>
  </si>
  <si>
    <t>Currency</t>
  </si>
  <si>
    <t>Softs</t>
  </si>
  <si>
    <t>Volatility</t>
  </si>
  <si>
    <t>Sectoral</t>
  </si>
  <si>
    <t>Index</t>
  </si>
  <si>
    <t>TAN - Invesco Solar ETF</t>
  </si>
  <si>
    <t>Metals_Exposure</t>
  </si>
  <si>
    <t>Currency_Exposure</t>
  </si>
  <si>
    <t>Softs_Exposure</t>
  </si>
  <si>
    <t>Volatility_Exposure</t>
  </si>
  <si>
    <t>Index_Exposure</t>
  </si>
  <si>
    <t>PATH - Ui Path - NYSE</t>
  </si>
  <si>
    <t>A - Agilent Technologies - NYSE</t>
  </si>
  <si>
    <t>AAL - American Airlines - Nasdaq</t>
  </si>
  <si>
    <t>SMCI - Super Micro Computer - Nasdaq</t>
  </si>
  <si>
    <t>NU - Nu Holdings - NYSE</t>
  </si>
  <si>
    <t>PCG - Pacific Gas Electric - NYSE</t>
  </si>
  <si>
    <t>BMNR - BitMine Immersion Technologies - NYSE</t>
  </si>
  <si>
    <t>LULU - Lululemon Athletica - Nasdaq</t>
  </si>
  <si>
    <t>IREN - Iren Limited - Nasdaq</t>
  </si>
  <si>
    <t>CDE - Coeur Mining - NYSE</t>
  </si>
  <si>
    <t>PL - Planet Labs - NYSE</t>
  </si>
  <si>
    <t>SOFI - Sofi Technologies - Nasdaq</t>
  </si>
  <si>
    <t>KVUE - Kenvue - NYSE</t>
  </si>
  <si>
    <t>T - AT&amp;T - NYSE</t>
  </si>
  <si>
    <t>CNH - CNH Industrial - NYSE</t>
  </si>
  <si>
    <t>IOT - Samsara Inc - NYSE</t>
  </si>
  <si>
    <t>CIFR - Cipher Digital - Nasdaq</t>
  </si>
  <si>
    <t>CRCL - Circle Internet Group - NYSE</t>
  </si>
  <si>
    <t>AXP - American Express - NYSE</t>
  </si>
  <si>
    <t>MELI - MercodaLibre - Nasdaq</t>
  </si>
  <si>
    <t>BKR - Baker Hughes Co - Nasdaq</t>
  </si>
  <si>
    <t>SYF - Synchrony Financial - NYSE</t>
  </si>
  <si>
    <t>FDX - Fedex Corporation - NYSE</t>
  </si>
  <si>
    <t>NVR - NVR Inc - NYSE</t>
  </si>
  <si>
    <t>RTX - RTX Corporation - NYSE</t>
  </si>
  <si>
    <t>APH - Amphenol Corporation - NYSE</t>
  </si>
  <si>
    <t>STX - Seagate Technology Holdings - Nasdaq</t>
  </si>
  <si>
    <t>ADI - Analog Devices - Nasdaq</t>
  </si>
  <si>
    <t>WELL - Welltower Inc - NYSE</t>
  </si>
  <si>
    <t>SCCO - Southern Copper Corporation - NYSE</t>
  </si>
  <si>
    <t>DHR - Danaher Corporation - NYSE</t>
  </si>
  <si>
    <t>VRTX - Vertex Pharmaceuticals - Nasdaq</t>
  </si>
  <si>
    <t>BMY - Bristol-Myers Squibb - NYSE</t>
  </si>
  <si>
    <t>CB - Chubb Limited - NYSE</t>
  </si>
  <si>
    <t>ISRG - Intuitive Surgical - Nasdaq</t>
  </si>
  <si>
    <t>SNOW - Snowflake - NYSE</t>
  </si>
  <si>
    <t>SPOT - Spotify - NYSE</t>
  </si>
  <si>
    <t>VRT - Vertiv Holdings - NYSE</t>
  </si>
  <si>
    <t>NET - Cloudfare - NYSE</t>
  </si>
  <si>
    <t>ROST - Ross Stores - Nasdaq</t>
  </si>
  <si>
    <t>TRIP</t>
  </si>
  <si>
    <t>Tripadvisor</t>
  </si>
  <si>
    <t>MYM</t>
  </si>
  <si>
    <t>Dow Jones Futures Mini</t>
  </si>
  <si>
    <t>Meta Platforms</t>
  </si>
  <si>
    <t>AFL</t>
  </si>
  <si>
    <t>Aflac Incorporated</t>
  </si>
  <si>
    <t>GBL</t>
  </si>
  <si>
    <t>Euro-Bund Futures</t>
  </si>
  <si>
    <t>Rates_Exposure</t>
  </si>
  <si>
    <t>TAN</t>
  </si>
  <si>
    <t>Invesco Solar ETF</t>
  </si>
  <si>
    <t>HGV</t>
  </si>
  <si>
    <t>Hilton Grand Vacations</t>
  </si>
  <si>
    <t>DECK</t>
  </si>
  <si>
    <t>Deckers Outdoor Corp</t>
  </si>
  <si>
    <t>HD</t>
  </si>
  <si>
    <t>Home Depot</t>
  </si>
  <si>
    <t>DAC</t>
  </si>
  <si>
    <t>Danaos Corporation</t>
  </si>
  <si>
    <t>NSC</t>
  </si>
  <si>
    <t>Norfolk Southern Corporation</t>
  </si>
  <si>
    <t>S&amp;P Micro Futures</t>
  </si>
  <si>
    <t>MDU</t>
  </si>
  <si>
    <t>MDU Resources Group</t>
  </si>
  <si>
    <t>CRWD</t>
  </si>
  <si>
    <t>CrowdStrike Holdings</t>
  </si>
  <si>
    <t>VXMV6</t>
  </si>
  <si>
    <t>QG</t>
  </si>
  <si>
    <t>Natural Gas Futures Mini</t>
  </si>
  <si>
    <t>QGX6</t>
  </si>
  <si>
    <t>Energy_Exposure</t>
  </si>
  <si>
    <t>DDOG</t>
  </si>
  <si>
    <t>Datadog</t>
  </si>
  <si>
    <t>LCII</t>
  </si>
  <si>
    <t>LCI Industries</t>
  </si>
  <si>
    <t>TSM</t>
  </si>
  <si>
    <t>Taiwan Semiconductor</t>
  </si>
  <si>
    <t>ACAD</t>
  </si>
  <si>
    <t>Acadia Pharmaceuticals</t>
  </si>
  <si>
    <t>IWM</t>
  </si>
  <si>
    <t>iShares Russell 2000 ETF</t>
  </si>
  <si>
    <t>SPY</t>
  </si>
  <si>
    <t>S&amp;P500 ETF</t>
  </si>
  <si>
    <t>WAT</t>
  </si>
  <si>
    <t>Waters Corporation</t>
  </si>
  <si>
    <t>TMO</t>
  </si>
  <si>
    <t>Thermo Fisher Scientific</t>
  </si>
  <si>
    <t>6EZ6</t>
  </si>
  <si>
    <t>MHG</t>
  </si>
  <si>
    <t>Copper Futures</t>
  </si>
  <si>
    <t>MHGZ6</t>
  </si>
  <si>
    <t>UEC</t>
  </si>
  <si>
    <t>Uranium Energy Corp</t>
  </si>
  <si>
    <t>TRUP</t>
  </si>
  <si>
    <t>Trupanion Inc</t>
  </si>
  <si>
    <t>BKE</t>
  </si>
  <si>
    <t>Buckle Inc</t>
  </si>
  <si>
    <t>RL</t>
  </si>
  <si>
    <t>Ralph Lauren</t>
  </si>
  <si>
    <t>Vix Futures</t>
  </si>
  <si>
    <t>S&amp;P Futures</t>
  </si>
  <si>
    <t>Theme</t>
  </si>
  <si>
    <t>RL (-)</t>
  </si>
  <si>
    <t>BKE (-)</t>
  </si>
  <si>
    <t>TRUP (-)</t>
  </si>
  <si>
    <t>UEC (+)</t>
  </si>
  <si>
    <t>Gold (+) Copper (-)</t>
  </si>
  <si>
    <t>Euro (+)</t>
  </si>
  <si>
    <t>Vix (+)</t>
  </si>
  <si>
    <t>JPM (+)</t>
  </si>
  <si>
    <t>TMO (-)</t>
  </si>
  <si>
    <t>WAT (-)</t>
  </si>
  <si>
    <t>IWM (+) SPY(-)</t>
  </si>
  <si>
    <t>ACAD (+)</t>
  </si>
  <si>
    <t>TSM (-)</t>
  </si>
  <si>
    <t>LCII (+)</t>
  </si>
  <si>
    <t>DDOG (-)</t>
  </si>
  <si>
    <t>Natgas (-)</t>
  </si>
  <si>
    <t>CRWD (-)</t>
  </si>
  <si>
    <t>MDU (+)</t>
  </si>
  <si>
    <t>S&amp;P500 (-)</t>
  </si>
  <si>
    <t>NSC (+)</t>
  </si>
  <si>
    <t>DAC (-)</t>
  </si>
  <si>
    <t>HD (+)</t>
  </si>
  <si>
    <t>DECK (+)</t>
  </si>
  <si>
    <t>HGV (+)</t>
  </si>
  <si>
    <t>TAN (+)</t>
  </si>
  <si>
    <t>Bund (+)</t>
  </si>
  <si>
    <t>AFL (+)</t>
  </si>
  <si>
    <t>META (-)</t>
  </si>
  <si>
    <t>Dow (+)</t>
  </si>
  <si>
    <t>SHW (+)</t>
  </si>
  <si>
    <t>TRIP (+)</t>
  </si>
  <si>
    <t>VZ (-)</t>
  </si>
  <si>
    <t>PH (+)</t>
  </si>
  <si>
    <t>ITW (+)</t>
  </si>
  <si>
    <t>SLB (-)</t>
  </si>
  <si>
    <t>NEM (-)</t>
  </si>
  <si>
    <t>Gold (-)</t>
  </si>
  <si>
    <t>CAD (-)</t>
  </si>
  <si>
    <t>Euro (-)</t>
  </si>
  <si>
    <t>Sugar (-)</t>
  </si>
  <si>
    <t>Industrials (+)</t>
  </si>
  <si>
    <t>EFA (+)</t>
  </si>
  <si>
    <t>AAPL (-)</t>
  </si>
  <si>
    <t>SPCX (+)</t>
  </si>
  <si>
    <t>LLY (-)</t>
  </si>
  <si>
    <t>Coffee (-)</t>
  </si>
  <si>
    <t>META (+)</t>
  </si>
  <si>
    <t>KRE (-)</t>
  </si>
  <si>
    <t>Silver (+) Gold (-)</t>
  </si>
  <si>
    <t>CHF (+)</t>
  </si>
  <si>
    <t>Cocoa (-)</t>
  </si>
  <si>
    <t>JPM (-)</t>
  </si>
  <si>
    <t>MU (-)</t>
  </si>
  <si>
    <t>identifier</t>
  </si>
  <si>
    <t>mu</t>
  </si>
  <si>
    <t>jpm</t>
  </si>
  <si>
    <t>silver</t>
  </si>
  <si>
    <t>eur</t>
  </si>
  <si>
    <t>cocoa</t>
  </si>
  <si>
    <t>chf</t>
  </si>
  <si>
    <t>iwd</t>
  </si>
  <si>
    <t>iwf</t>
  </si>
  <si>
    <t>gold</t>
  </si>
  <si>
    <t>kre</t>
  </si>
  <si>
    <t>meta</t>
  </si>
  <si>
    <t>vix</t>
  </si>
  <si>
    <t>coffee</t>
  </si>
  <si>
    <t>lly</t>
  </si>
  <si>
    <t>spcx</t>
  </si>
  <si>
    <t>aapl</t>
  </si>
  <si>
    <t>efa</t>
  </si>
  <si>
    <t>xai</t>
  </si>
  <si>
    <t>tlt</t>
  </si>
  <si>
    <t>es</t>
  </si>
  <si>
    <t>sugar</t>
  </si>
  <si>
    <t>cad</t>
  </si>
  <si>
    <t>nem</t>
  </si>
  <si>
    <t>slb</t>
  </si>
  <si>
    <t>itw</t>
  </si>
  <si>
    <t>ph</t>
  </si>
  <si>
    <t>shw</t>
  </si>
  <si>
    <t>vz</t>
  </si>
  <si>
    <t>trip</t>
  </si>
  <si>
    <t>dow</t>
  </si>
  <si>
    <t>afl</t>
  </si>
  <si>
    <t>bund</t>
  </si>
  <si>
    <t>tan</t>
  </si>
  <si>
    <t>hgv</t>
  </si>
  <si>
    <t>deck</t>
  </si>
  <si>
    <t>hd</t>
  </si>
  <si>
    <t>dac</t>
  </si>
  <si>
    <t>nsc</t>
  </si>
  <si>
    <t>mdu</t>
  </si>
  <si>
    <t>crwd</t>
  </si>
  <si>
    <t>natgas</t>
  </si>
  <si>
    <t>ddog</t>
  </si>
  <si>
    <t>lcii</t>
  </si>
  <si>
    <t>tsm</t>
  </si>
  <si>
    <t>acad</t>
  </si>
  <si>
    <t>iwm</t>
  </si>
  <si>
    <t>spy</t>
  </si>
  <si>
    <t>wat</t>
  </si>
  <si>
    <t>tmo</t>
  </si>
  <si>
    <t>copper</t>
  </si>
  <si>
    <t>uec</t>
  </si>
  <si>
    <t>trup</t>
  </si>
  <si>
    <t>bke</t>
  </si>
  <si>
    <t>rl</t>
  </si>
  <si>
    <t>CHF</t>
  </si>
  <si>
    <t>Value-IWD (+) Growth-IWF (-)</t>
  </si>
  <si>
    <t>Bonds-TLT (+) Equities-ES 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</si>
</sst>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000"/>
  </numFmts>
  <fonts count="12" x14ac:knownFonts="1">
    <font>
      <sz val="11"/>
      <color theme="1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b/>
      <sz val="14"/>
      <color theme="1"/>
      <name val="Calibri (Body)"/>
    </font>
    <font>
      <sz val="14"/>
      <color rgb="FF000000"/>
      <name val="Calibri (Body)"/>
    </font>
    <font>
      <sz val="14"/>
      <color theme="1"/>
      <name val="Calibri"/>
      <family val="2"/>
      <scheme val="minor"/>
    </font>
    <font>
      <sz val="14"/>
      <color theme="1"/>
      <name val="Calibri (Body)"/>
    </font>
    <font>
      <sz val="16"/>
      <color rgb="FFFFC000"/>
      <name val="Calibri"/>
      <family val="2"/>
      <scheme val="minor"/>
    </font>
    <font>
      <sz val="16"/>
      <color theme="1"/>
      <name val="Calibri (Body)"/>
    </font>
    <font>
      <sz val="16"/>
      <color rgb="FF000000"/>
      <name val="Calibri (Body)"/>
    </font>
    <font>
      <sz val="16"/>
      <color theme="2"/>
      <name val="Calibri"/>
      <family val="2"/>
      <scheme val="minor"/>
    </font>
    <font>
      <sz val="16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3" fontId="0" fillId="7" borderId="0" xfId="0" applyNumberFormat="1" applyFill="1" applyAlignment="1">
      <alignment horizontal="center"/>
    </xf>
    <xf numFmtId="164" fontId="3" fillId="8" borderId="0" xfId="0" applyNumberFormat="1" applyFont="1" applyFill="1" applyAlignment="1">
      <alignment horizontal="center"/>
    </xf>
    <xf numFmtId="1" fontId="3" fillId="7" borderId="0" xfId="0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164" fontId="4" fillId="8" borderId="0" xfId="0" applyNumberFormat="1" applyFont="1" applyFill="1" applyAlignment="1">
      <alignment horizontal="center"/>
    </xf>
    <xf numFmtId="3" fontId="5" fillId="8" borderId="0" xfId="0" applyNumberFormat="1" applyFont="1" applyFill="1" applyAlignment="1">
      <alignment horizontal="center"/>
    </xf>
    <xf numFmtId="3" fontId="5" fillId="7" borderId="0" xfId="0" applyNumberFormat="1" applyFont="1" applyFill="1" applyAlignment="1">
      <alignment horizontal="center"/>
    </xf>
    <xf numFmtId="3" fontId="6" fillId="7" borderId="0" xfId="0" applyNumberFormat="1" applyFont="1" applyFill="1" applyAlignment="1">
      <alignment horizontal="center"/>
    </xf>
    <xf numFmtId="3" fontId="6" fillId="8" borderId="0" xfId="0" applyNumberFormat="1" applyFont="1" applyFill="1" applyAlignment="1">
      <alignment horizontal="center"/>
    </xf>
    <xf numFmtId="2" fontId="6" fillId="7" borderId="0" xfId="0" applyNumberFormat="1" applyFont="1" applyFill="1" applyAlignment="1">
      <alignment horizontal="center"/>
    </xf>
    <xf numFmtId="4" fontId="6" fillId="7" borderId="0" xfId="0" applyNumberFormat="1" applyFont="1" applyFill="1" applyAlignment="1">
      <alignment horizontal="center"/>
    </xf>
    <xf numFmtId="9" fontId="6" fillId="7" borderId="0" xfId="0" applyNumberFormat="1" applyFont="1" applyFill="1" applyAlignment="1">
      <alignment horizontal="center"/>
    </xf>
    <xf numFmtId="0" fontId="6" fillId="7" borderId="0" xfId="0" applyFont="1" applyFill="1" applyAlignment="1">
      <alignment horizontal="center"/>
    </xf>
    <xf numFmtId="1" fontId="6" fillId="7" borderId="0" xfId="0" applyNumberFormat="1" applyFont="1" applyFill="1" applyAlignment="1">
      <alignment horizontal="center"/>
    </xf>
    <xf numFmtId="164" fontId="6" fillId="8" borderId="0" xfId="0" applyNumberFormat="1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65" fontId="0" fillId="7" borderId="0" xfId="0" applyNumberForma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right"/>
    </xf>
    <xf numFmtId="14" fontId="0" fillId="7" borderId="0" xfId="0" applyNumberFormat="1" applyFill="1"/>
    <xf numFmtId="3" fontId="0" fillId="7" borderId="0" xfId="0" applyNumberFormat="1" applyFill="1"/>
    <xf numFmtId="2" fontId="0" fillId="7" borderId="0" xfId="0" applyNumberFormat="1" applyFill="1"/>
    <xf numFmtId="10" fontId="0" fillId="7" borderId="0" xfId="0" applyNumberFormat="1" applyFill="1"/>
    <xf numFmtId="0" fontId="7" fillId="4" borderId="0" xfId="0" applyFont="1" applyFill="1" applyAlignment="1">
      <alignment horizontal="center"/>
    </xf>
    <xf numFmtId="164" fontId="7" fillId="4" borderId="0" xfId="0" applyNumberFormat="1" applyFont="1" applyFill="1" applyAlignment="1">
      <alignment horizontal="center"/>
    </xf>
    <xf numFmtId="1" fontId="7" fillId="4" borderId="0" xfId="0" applyNumberFormat="1" applyFont="1" applyFill="1" applyAlignment="1">
      <alignment horizontal="center"/>
    </xf>
    <xf numFmtId="0" fontId="8" fillId="7" borderId="0" xfId="0" applyFont="1" applyFill="1" applyAlignment="1">
      <alignment horizontal="center"/>
    </xf>
    <xf numFmtId="164" fontId="9" fillId="7" borderId="0" xfId="0" applyNumberFormat="1" applyFont="1" applyFill="1" applyAlignment="1">
      <alignment horizontal="center"/>
    </xf>
    <xf numFmtId="1" fontId="9" fillId="7" borderId="0" xfId="0" applyNumberFormat="1" applyFont="1" applyFill="1" applyAlignment="1">
      <alignment horizontal="center"/>
    </xf>
    <xf numFmtId="0" fontId="8" fillId="7" borderId="0" xfId="0" applyFont="1" applyFill="1" applyAlignment="1">
      <alignment horizontal="left"/>
    </xf>
    <xf numFmtId="0" fontId="9" fillId="7" borderId="0" xfId="0" applyFont="1" applyFill="1" applyAlignment="1">
      <alignment horizontal="center"/>
    </xf>
    <xf numFmtId="0" fontId="9" fillId="7" borderId="0" xfId="0" applyFont="1" applyFill="1" applyAlignment="1">
      <alignment horizontal="left"/>
    </xf>
    <xf numFmtId="3" fontId="8" fillId="7" borderId="0" xfId="0" applyNumberFormat="1" applyFont="1" applyFill="1" applyAlignment="1">
      <alignment horizontal="center"/>
    </xf>
    <xf numFmtId="10" fontId="9" fillId="7" borderId="0" xfId="0" applyNumberFormat="1" applyFont="1" applyFill="1" applyAlignment="1">
      <alignment horizontal="center"/>
    </xf>
    <xf numFmtId="3" fontId="8" fillId="2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3" fontId="10" fillId="3" borderId="0" xfId="0" applyNumberFormat="1" applyFont="1" applyFill="1" applyAlignment="1">
      <alignment horizontal="center"/>
    </xf>
    <xf numFmtId="3" fontId="9" fillId="2" borderId="0" xfId="0" applyNumberFormat="1" applyFont="1" applyFill="1" applyAlignment="1">
      <alignment horizontal="center"/>
    </xf>
    <xf numFmtId="3" fontId="11" fillId="3" borderId="0" xfId="0" applyNumberFormat="1" applyFont="1" applyFill="1" applyAlignment="1">
      <alignment horizontal="center"/>
    </xf>
    <xf numFmtId="1" fontId="8" fillId="7" borderId="0" xfId="0" applyNumberFormat="1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5" borderId="0" xfId="0" applyFont="1" applyFill="1" applyAlignment="1">
      <alignment horizontal="left"/>
    </xf>
    <xf numFmtId="3" fontId="8" fillId="5" borderId="0" xfId="0" applyNumberFormat="1" applyFont="1" applyFill="1" applyAlignment="1">
      <alignment horizontal="center"/>
    </xf>
    <xf numFmtId="164" fontId="8" fillId="7" borderId="0" xfId="0" applyNumberFormat="1" applyFont="1" applyFill="1" applyAlignment="1">
      <alignment horizontal="center"/>
    </xf>
    <xf numFmtId="1" fontId="8" fillId="7" borderId="0" xfId="0" applyNumberFormat="1" applyFont="1" applyFill="1" applyAlignment="1">
      <alignment horizontal="right"/>
    </xf>
    <xf numFmtId="0" fontId="8" fillId="7" borderId="0" xfId="0" applyFont="1" applyFill="1" applyAlignment="1">
      <alignment horizontal="right"/>
    </xf>
    <xf numFmtId="10" fontId="8" fillId="7" borderId="0" xfId="0" applyNumberFormat="1" applyFont="1" applyFill="1" applyAlignment="1">
      <alignment horizontal="center"/>
    </xf>
    <xf numFmtId="164" fontId="9" fillId="5" borderId="0" xfId="0" applyNumberFormat="1" applyFont="1" applyFill="1" applyAlignment="1">
      <alignment horizontal="center"/>
    </xf>
    <xf numFmtId="1" fontId="9" fillId="5" borderId="0" xfId="0" applyNumberFormat="1" applyFont="1" applyFill="1" applyAlignment="1">
      <alignment horizontal="center"/>
    </xf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9"/>
  <sheetViews>
    <sheetView tabSelected="1" topLeftCell="B1" zoomScaleNormal="100" workbookViewId="0">
      <pane ySplit="1" topLeftCell="A2" activePane="bottomLeft" state="frozen"/>
      <selection activeCell="D1" sqref="D1"/>
      <selection pane="bottomLeft" activeCell="H10" sqref="H10"/>
    </sheetView>
  </sheetViews>
  <sheetFormatPr baseColWidth="10" defaultColWidth="9.1640625" defaultRowHeight="21" x14ac:dyDescent="0.25"/>
  <cols>
    <col min="1" max="1" width="10.5" style="33" bestFit="1" customWidth="1"/>
    <col min="2" max="3" width="14" style="50" bestFit="1" customWidth="1"/>
    <col min="4" max="4" width="16.5" style="46" customWidth="1"/>
    <col min="5" max="5" width="9" style="33" bestFit="1" customWidth="1"/>
    <col min="6" max="6" width="11.1640625" style="33" bestFit="1" customWidth="1"/>
    <col min="7" max="7" width="57.6640625" style="33" bestFit="1" customWidth="1"/>
    <col min="8" max="8" width="13.33203125" style="33" bestFit="1" customWidth="1"/>
    <col min="9" max="9" width="43.1640625" style="33" bestFit="1" customWidth="1"/>
    <col min="10" max="11" width="13" style="33" bestFit="1" customWidth="1"/>
    <col min="12" max="12" width="12.33203125" style="33" bestFit="1" customWidth="1"/>
    <col min="13" max="13" width="10.5" style="33" bestFit="1" customWidth="1"/>
    <col min="14" max="14" width="13.1640625" style="33" bestFit="1" customWidth="1"/>
    <col min="15" max="17" width="11.83203125" style="33" bestFit="1" customWidth="1"/>
    <col min="18" max="18" width="7.5" style="33" bestFit="1" customWidth="1"/>
    <col min="19" max="19" width="10.1640625" style="33" bestFit="1" customWidth="1"/>
    <col min="20" max="20" width="18.1640625" style="33" bestFit="1" customWidth="1"/>
    <col min="21" max="21" width="10" style="33" bestFit="1" customWidth="1"/>
    <col min="22" max="22" width="13" style="33" bestFit="1" customWidth="1"/>
    <col min="23" max="23" width="14.83203125" style="33" bestFit="1" customWidth="1"/>
    <col min="24" max="24" width="6" style="33" bestFit="1" customWidth="1"/>
    <col min="25" max="16384" width="9.1640625" style="33"/>
  </cols>
  <sheetData>
    <row r="1" spans="1:23" s="30" customFormat="1" x14ac:dyDescent="0.25">
      <c r="A1" s="30" t="s">
        <v>0</v>
      </c>
      <c r="B1" s="31" t="s">
        <v>1</v>
      </c>
      <c r="C1" s="31" t="s">
        <v>2</v>
      </c>
      <c r="D1" s="32" t="s">
        <v>3</v>
      </c>
      <c r="E1" s="30" t="s">
        <v>4</v>
      </c>
      <c r="F1" s="30" t="s">
        <v>688</v>
      </c>
      <c r="G1" s="30" t="s">
        <v>5</v>
      </c>
      <c r="H1" s="30" t="s">
        <v>6</v>
      </c>
      <c r="I1" s="30" t="s">
        <v>634</v>
      </c>
      <c r="J1" s="30" t="s">
        <v>7</v>
      </c>
      <c r="K1" s="30" t="s">
        <v>7</v>
      </c>
      <c r="L1" s="30" t="s">
        <v>8</v>
      </c>
      <c r="M1" s="30" t="s">
        <v>9</v>
      </c>
      <c r="N1" s="30" t="s">
        <v>10</v>
      </c>
      <c r="O1" s="30" t="s">
        <v>11</v>
      </c>
      <c r="P1" s="30" t="s">
        <v>12</v>
      </c>
      <c r="Q1" s="30" t="s">
        <v>13</v>
      </c>
      <c r="R1" s="30" t="s">
        <v>14</v>
      </c>
      <c r="S1" s="30" t="s">
        <v>15</v>
      </c>
      <c r="T1" s="30" t="s">
        <v>16</v>
      </c>
      <c r="U1" s="30" t="s">
        <v>17</v>
      </c>
      <c r="V1" s="30" t="s">
        <v>18</v>
      </c>
      <c r="W1" s="30" t="s">
        <v>19</v>
      </c>
    </row>
    <row r="2" spans="1:23" x14ac:dyDescent="0.25">
      <c r="A2" s="33">
        <v>1</v>
      </c>
      <c r="B2" s="34">
        <v>46175</v>
      </c>
      <c r="C2" s="34">
        <v>46181</v>
      </c>
      <c r="D2" s="35">
        <f t="shared" ref="D2:D25" si="0">C2-B2</f>
        <v>6</v>
      </c>
      <c r="E2" s="33" t="s">
        <v>20</v>
      </c>
      <c r="F2" s="33" t="s">
        <v>689</v>
      </c>
      <c r="G2" s="36" t="s">
        <v>21</v>
      </c>
      <c r="H2" s="37" t="s">
        <v>22</v>
      </c>
      <c r="I2" s="38" t="s">
        <v>687</v>
      </c>
      <c r="J2" s="37" t="s">
        <v>23</v>
      </c>
      <c r="K2" s="37" t="s">
        <v>23</v>
      </c>
      <c r="L2" s="33" t="s">
        <v>20</v>
      </c>
      <c r="M2" s="33">
        <v>-100</v>
      </c>
      <c r="N2" s="33">
        <v>1057.1199999999999</v>
      </c>
      <c r="O2" s="33">
        <v>941.37</v>
      </c>
      <c r="P2" s="33">
        <f t="shared" ref="P2:P11" si="1">O2</f>
        <v>941.37</v>
      </c>
      <c r="Q2" s="39">
        <v>105712</v>
      </c>
      <c r="R2" s="33">
        <v>2.94</v>
      </c>
      <c r="S2" s="33">
        <v>1</v>
      </c>
      <c r="T2" s="40">
        <f t="shared" ref="T2:T12" si="2">IF(S2=1, ABS(O2-N2)/N2, 0)</f>
        <v>0.10949561071590727</v>
      </c>
      <c r="U2" s="39">
        <v>11575</v>
      </c>
      <c r="V2" s="41">
        <v>11575</v>
      </c>
    </row>
    <row r="3" spans="1:23" x14ac:dyDescent="0.25">
      <c r="A3" s="37">
        <v>2</v>
      </c>
      <c r="B3" s="34">
        <v>46177</v>
      </c>
      <c r="C3" s="34">
        <v>46185</v>
      </c>
      <c r="D3" s="35">
        <f t="shared" si="0"/>
        <v>8</v>
      </c>
      <c r="E3" s="37" t="s">
        <v>24</v>
      </c>
      <c r="F3" s="37" t="s">
        <v>690</v>
      </c>
      <c r="G3" s="38" t="s">
        <v>25</v>
      </c>
      <c r="H3" s="37" t="s">
        <v>22</v>
      </c>
      <c r="I3" s="38" t="s">
        <v>686</v>
      </c>
      <c r="J3" s="37" t="s">
        <v>23</v>
      </c>
      <c r="K3" s="37" t="s">
        <v>23</v>
      </c>
      <c r="L3" s="37" t="s">
        <v>24</v>
      </c>
      <c r="M3" s="37">
        <v>-450</v>
      </c>
      <c r="N3" s="37">
        <v>308.14999999999998</v>
      </c>
      <c r="O3" s="37">
        <v>317.27260000000001</v>
      </c>
      <c r="P3" s="33">
        <f t="shared" si="1"/>
        <v>317.27260000000001</v>
      </c>
      <c r="Q3" s="42">
        <v>138667.5</v>
      </c>
      <c r="R3" s="37">
        <v>-7.92</v>
      </c>
      <c r="S3" s="37">
        <v>0</v>
      </c>
      <c r="T3" s="40">
        <f t="shared" si="2"/>
        <v>0</v>
      </c>
      <c r="U3" s="42">
        <v>-4105.18</v>
      </c>
      <c r="V3" s="43">
        <v>-4105.18</v>
      </c>
    </row>
    <row r="4" spans="1:23" x14ac:dyDescent="0.25">
      <c r="A4" s="33">
        <v>3</v>
      </c>
      <c r="B4" s="34">
        <v>46178</v>
      </c>
      <c r="C4" s="34">
        <v>46183</v>
      </c>
      <c r="D4" s="35">
        <v>20</v>
      </c>
      <c r="E4" s="33" t="s">
        <v>26</v>
      </c>
      <c r="F4" s="33" t="s">
        <v>691</v>
      </c>
      <c r="G4" s="36" t="s">
        <v>27</v>
      </c>
      <c r="H4" s="33" t="s">
        <v>28</v>
      </c>
      <c r="I4" s="36" t="s">
        <v>683</v>
      </c>
      <c r="J4" s="33" t="s">
        <v>29</v>
      </c>
      <c r="K4" s="33" t="s">
        <v>114</v>
      </c>
      <c r="L4" s="33" t="s">
        <v>30</v>
      </c>
      <c r="M4" s="33">
        <v>2</v>
      </c>
      <c r="N4" s="33">
        <v>66.334999999999994</v>
      </c>
      <c r="O4" s="33">
        <v>63</v>
      </c>
      <c r="P4" s="33">
        <f t="shared" si="1"/>
        <v>63</v>
      </c>
      <c r="Q4" s="39">
        <v>663350</v>
      </c>
      <c r="R4" s="33">
        <v>10.08</v>
      </c>
      <c r="S4" s="33">
        <v>1</v>
      </c>
      <c r="T4" s="40">
        <f t="shared" si="2"/>
        <v>5.0275118715610072E-2</v>
      </c>
      <c r="U4" s="39">
        <v>-33350</v>
      </c>
      <c r="V4" s="41">
        <v>0</v>
      </c>
    </row>
    <row r="5" spans="1:23" x14ac:dyDescent="0.25">
      <c r="A5" s="33">
        <v>4</v>
      </c>
      <c r="B5" s="34">
        <v>46181</v>
      </c>
      <c r="C5" s="34">
        <v>46182</v>
      </c>
      <c r="D5" s="35">
        <f t="shared" si="0"/>
        <v>1</v>
      </c>
      <c r="E5" s="33" t="s">
        <v>31</v>
      </c>
      <c r="F5" s="33" t="s">
        <v>692</v>
      </c>
      <c r="G5" s="36" t="s">
        <v>32</v>
      </c>
      <c r="H5" s="37" t="s">
        <v>22</v>
      </c>
      <c r="I5" s="38" t="s">
        <v>640</v>
      </c>
      <c r="J5" s="33" t="s">
        <v>29</v>
      </c>
      <c r="K5" s="33" t="s">
        <v>521</v>
      </c>
      <c r="L5" s="33" t="s">
        <v>31</v>
      </c>
      <c r="M5" s="33">
        <v>20</v>
      </c>
      <c r="N5" s="33">
        <v>1.1535</v>
      </c>
      <c r="O5" s="33">
        <v>1.1579600000000001</v>
      </c>
      <c r="P5" s="33">
        <f t="shared" si="1"/>
        <v>1.1579600000000001</v>
      </c>
      <c r="Q5" s="39">
        <v>2894900</v>
      </c>
      <c r="R5" s="33">
        <v>-98.8</v>
      </c>
      <c r="S5" s="33">
        <v>1</v>
      </c>
      <c r="T5" s="40">
        <f t="shared" si="2"/>
        <v>3.8664932813178418E-3</v>
      </c>
      <c r="U5" s="39">
        <v>11150</v>
      </c>
      <c r="V5" s="41">
        <v>11150</v>
      </c>
    </row>
    <row r="6" spans="1:23" x14ac:dyDescent="0.25">
      <c r="A6" s="33">
        <v>3</v>
      </c>
      <c r="B6" s="34">
        <v>46183</v>
      </c>
      <c r="C6" s="34">
        <v>46203</v>
      </c>
      <c r="D6" s="35">
        <v>0</v>
      </c>
      <c r="E6" s="33" t="s">
        <v>33</v>
      </c>
      <c r="F6" s="33" t="s">
        <v>691</v>
      </c>
      <c r="G6" s="36" t="s">
        <v>34</v>
      </c>
      <c r="H6" s="33" t="s">
        <v>28</v>
      </c>
      <c r="I6" s="36" t="s">
        <v>683</v>
      </c>
      <c r="J6" s="33" t="s">
        <v>29</v>
      </c>
      <c r="K6" s="33" t="s">
        <v>114</v>
      </c>
      <c r="L6" s="33" t="s">
        <v>35</v>
      </c>
      <c r="M6" s="33">
        <v>3</v>
      </c>
      <c r="N6" s="33">
        <v>61.529200000000003</v>
      </c>
      <c r="O6" s="33">
        <v>66.92</v>
      </c>
      <c r="P6" s="33">
        <f t="shared" si="1"/>
        <v>66.92</v>
      </c>
      <c r="Q6" s="39">
        <v>461468.75</v>
      </c>
      <c r="R6" s="33">
        <v>14.22</v>
      </c>
      <c r="S6" s="33">
        <v>1</v>
      </c>
      <c r="T6" s="40">
        <f t="shared" si="2"/>
        <v>8.761368585972186E-2</v>
      </c>
      <c r="U6" s="39">
        <v>40406.25</v>
      </c>
      <c r="V6" s="41">
        <v>6343</v>
      </c>
    </row>
    <row r="7" spans="1:23" x14ac:dyDescent="0.25">
      <c r="A7" s="33">
        <v>5</v>
      </c>
      <c r="B7" s="34">
        <v>46190</v>
      </c>
      <c r="C7" s="34">
        <v>46195</v>
      </c>
      <c r="D7" s="35">
        <f t="shared" si="0"/>
        <v>5</v>
      </c>
      <c r="E7" s="33" t="s">
        <v>36</v>
      </c>
      <c r="F7" s="33" t="s">
        <v>693</v>
      </c>
      <c r="G7" s="36" t="s">
        <v>37</v>
      </c>
      <c r="H7" s="37" t="s">
        <v>22</v>
      </c>
      <c r="I7" s="38" t="s">
        <v>685</v>
      </c>
      <c r="J7" s="33" t="s">
        <v>29</v>
      </c>
      <c r="K7" s="33" t="s">
        <v>522</v>
      </c>
      <c r="L7" s="33" t="s">
        <v>38</v>
      </c>
      <c r="M7" s="33">
        <v>-3</v>
      </c>
      <c r="N7" s="33">
        <v>4374.66</v>
      </c>
      <c r="O7" s="33">
        <v>4575</v>
      </c>
      <c r="P7" s="33">
        <f t="shared" si="1"/>
        <v>4575</v>
      </c>
      <c r="Q7" s="39">
        <v>131240</v>
      </c>
      <c r="R7" s="33">
        <v>17.82</v>
      </c>
      <c r="S7" s="33">
        <v>0</v>
      </c>
      <c r="T7" s="40">
        <f t="shared" si="2"/>
        <v>0</v>
      </c>
      <c r="U7" s="39">
        <v>-6010</v>
      </c>
      <c r="V7" s="43">
        <v>-6010</v>
      </c>
    </row>
    <row r="8" spans="1:23" x14ac:dyDescent="0.25">
      <c r="A8" s="33">
        <v>6</v>
      </c>
      <c r="B8" s="34">
        <v>46194</v>
      </c>
      <c r="C8" s="34">
        <v>46205</v>
      </c>
      <c r="D8" s="35">
        <f t="shared" si="0"/>
        <v>11</v>
      </c>
      <c r="E8" s="33" t="s">
        <v>743</v>
      </c>
      <c r="F8" s="33" t="s">
        <v>694</v>
      </c>
      <c r="G8" s="36" t="s">
        <v>39</v>
      </c>
      <c r="H8" s="37" t="s">
        <v>22</v>
      </c>
      <c r="I8" s="38" t="s">
        <v>684</v>
      </c>
      <c r="J8" s="33" t="s">
        <v>29</v>
      </c>
      <c r="K8" s="33" t="s">
        <v>521</v>
      </c>
      <c r="L8" s="33" t="s">
        <v>40</v>
      </c>
      <c r="M8" s="33">
        <v>20</v>
      </c>
      <c r="N8" s="33">
        <v>1.2499125</v>
      </c>
      <c r="O8" s="33">
        <v>1.2517849999999999</v>
      </c>
      <c r="P8" s="33">
        <f t="shared" si="1"/>
        <v>1.2517849999999999</v>
      </c>
      <c r="Q8" s="39">
        <v>3124781</v>
      </c>
      <c r="R8" s="33">
        <v>98.8</v>
      </c>
      <c r="S8" s="33">
        <v>1</v>
      </c>
      <c r="T8" s="40">
        <f t="shared" si="2"/>
        <v>1.4981048673406688E-3</v>
      </c>
      <c r="U8" s="39">
        <v>4681.25</v>
      </c>
      <c r="V8" s="41">
        <v>4681.25</v>
      </c>
    </row>
    <row r="9" spans="1:23" x14ac:dyDescent="0.25">
      <c r="A9" s="37">
        <v>7</v>
      </c>
      <c r="B9" s="34">
        <v>46197</v>
      </c>
      <c r="C9" s="34">
        <v>46203</v>
      </c>
      <c r="D9" s="35">
        <f t="shared" si="0"/>
        <v>6</v>
      </c>
      <c r="E9" s="37" t="s">
        <v>41</v>
      </c>
      <c r="F9" s="37" t="s">
        <v>695</v>
      </c>
      <c r="G9" s="38" t="s">
        <v>42</v>
      </c>
      <c r="H9" s="37" t="s">
        <v>28</v>
      </c>
      <c r="I9" s="38" t="s">
        <v>744</v>
      </c>
      <c r="J9" s="37" t="s">
        <v>43</v>
      </c>
      <c r="K9" s="37" t="s">
        <v>43</v>
      </c>
      <c r="L9" s="37" t="s">
        <v>41</v>
      </c>
      <c r="M9" s="37">
        <v>-400</v>
      </c>
      <c r="N9" s="37">
        <v>241.2475</v>
      </c>
      <c r="O9" s="37">
        <v>242.61</v>
      </c>
      <c r="P9" s="33">
        <f t="shared" si="1"/>
        <v>242.61</v>
      </c>
      <c r="Q9" s="42">
        <v>96499</v>
      </c>
      <c r="R9" s="37">
        <v>7.43</v>
      </c>
      <c r="S9" s="37">
        <v>1</v>
      </c>
      <c r="T9" s="40">
        <f t="shared" si="2"/>
        <v>5.6477269194499897E-3</v>
      </c>
      <c r="U9" s="42">
        <v>-545</v>
      </c>
      <c r="V9" s="44">
        <v>0</v>
      </c>
    </row>
    <row r="10" spans="1:23" x14ac:dyDescent="0.25">
      <c r="A10" s="37">
        <v>7</v>
      </c>
      <c r="B10" s="34">
        <v>46197</v>
      </c>
      <c r="C10" s="34">
        <v>46203</v>
      </c>
      <c r="D10" s="35">
        <v>0</v>
      </c>
      <c r="E10" s="37" t="s">
        <v>44</v>
      </c>
      <c r="F10" s="37" t="s">
        <v>696</v>
      </c>
      <c r="G10" s="38" t="s">
        <v>45</v>
      </c>
      <c r="H10" s="37" t="s">
        <v>28</v>
      </c>
      <c r="I10" s="38" t="s">
        <v>744</v>
      </c>
      <c r="J10" s="37" t="s">
        <v>43</v>
      </c>
      <c r="K10" s="37" t="s">
        <v>43</v>
      </c>
      <c r="L10" s="37" t="s">
        <v>44</v>
      </c>
      <c r="M10" s="37">
        <v>800</v>
      </c>
      <c r="N10" s="37">
        <v>120.746</v>
      </c>
      <c r="O10" s="37">
        <v>124.35</v>
      </c>
      <c r="P10" s="33">
        <f t="shared" si="1"/>
        <v>124.35</v>
      </c>
      <c r="Q10" s="42">
        <v>96596.800000000003</v>
      </c>
      <c r="R10" s="37">
        <v>12.93</v>
      </c>
      <c r="S10" s="37">
        <v>1</v>
      </c>
      <c r="T10" s="40">
        <f t="shared" si="2"/>
        <v>2.9847779636592513E-2</v>
      </c>
      <c r="U10" s="42">
        <v>2883.2</v>
      </c>
      <c r="V10" s="44">
        <v>2338.1999999999998</v>
      </c>
    </row>
    <row r="11" spans="1:23" x14ac:dyDescent="0.25">
      <c r="A11" s="33">
        <v>3</v>
      </c>
      <c r="B11" s="34">
        <v>46198</v>
      </c>
      <c r="C11" s="34">
        <v>46203</v>
      </c>
      <c r="D11" s="35">
        <v>0</v>
      </c>
      <c r="E11" s="33" t="s">
        <v>46</v>
      </c>
      <c r="F11" s="33" t="s">
        <v>697</v>
      </c>
      <c r="G11" s="36" t="s">
        <v>47</v>
      </c>
      <c r="H11" s="37" t="s">
        <v>28</v>
      </c>
      <c r="I11" s="36" t="s">
        <v>683</v>
      </c>
      <c r="J11" s="33" t="s">
        <v>29</v>
      </c>
      <c r="K11" s="33" t="s">
        <v>114</v>
      </c>
      <c r="L11" s="33" t="s">
        <v>48</v>
      </c>
      <c r="M11" s="33">
        <v>1</v>
      </c>
      <c r="N11" s="33">
        <v>4042.5</v>
      </c>
      <c r="O11" s="33">
        <v>4028.25</v>
      </c>
      <c r="P11" s="33">
        <f t="shared" si="1"/>
        <v>4028.25</v>
      </c>
      <c r="Q11" s="39">
        <v>202125</v>
      </c>
      <c r="R11" s="33">
        <v>4.74</v>
      </c>
      <c r="S11" s="33">
        <v>1</v>
      </c>
      <c r="T11" s="40">
        <f t="shared" si="2"/>
        <v>3.5250463821892395E-3</v>
      </c>
      <c r="U11" s="39">
        <v>-712.5</v>
      </c>
      <c r="V11" s="41">
        <v>0</v>
      </c>
    </row>
    <row r="12" spans="1:23" x14ac:dyDescent="0.25">
      <c r="A12" s="37">
        <v>8</v>
      </c>
      <c r="B12" s="34">
        <v>46202</v>
      </c>
      <c r="C12" s="34">
        <v>46266</v>
      </c>
      <c r="D12" s="35">
        <f t="shared" si="0"/>
        <v>64</v>
      </c>
      <c r="E12" s="37" t="s">
        <v>49</v>
      </c>
      <c r="F12" s="37" t="s">
        <v>698</v>
      </c>
      <c r="G12" s="38" t="s">
        <v>50</v>
      </c>
      <c r="H12" s="37" t="s">
        <v>22</v>
      </c>
      <c r="I12" s="38" t="s">
        <v>682</v>
      </c>
      <c r="J12" s="37" t="s">
        <v>43</v>
      </c>
      <c r="K12" s="37" t="s">
        <v>43</v>
      </c>
      <c r="L12" s="37" t="s">
        <v>49</v>
      </c>
      <c r="M12" s="37">
        <v>-3000</v>
      </c>
      <c r="N12" s="37">
        <v>74.614400000000003</v>
      </c>
      <c r="O12" s="37">
        <v>73.084999999999994</v>
      </c>
      <c r="P12" s="37">
        <v>73.084999999999994</v>
      </c>
      <c r="Q12" s="42">
        <v>223843.28</v>
      </c>
      <c r="R12" s="37">
        <v>44.49</v>
      </c>
      <c r="S12" s="37">
        <v>1</v>
      </c>
      <c r="T12" s="40">
        <f t="shared" si="2"/>
        <v>2.0497383883003945E-2</v>
      </c>
      <c r="U12" s="42">
        <v>4588</v>
      </c>
      <c r="V12" s="41">
        <v>4588</v>
      </c>
    </row>
    <row r="13" spans="1:23" x14ac:dyDescent="0.25">
      <c r="A13" s="37">
        <v>9</v>
      </c>
      <c r="B13" s="34">
        <v>46202</v>
      </c>
      <c r="C13" s="34">
        <v>46204</v>
      </c>
      <c r="D13" s="35">
        <f t="shared" si="0"/>
        <v>2</v>
      </c>
      <c r="E13" s="37" t="s">
        <v>51</v>
      </c>
      <c r="F13" s="37" t="s">
        <v>699</v>
      </c>
      <c r="G13" s="38" t="s">
        <v>52</v>
      </c>
      <c r="H13" s="37" t="s">
        <v>22</v>
      </c>
      <c r="I13" s="38" t="s">
        <v>681</v>
      </c>
      <c r="J13" s="37" t="s">
        <v>23</v>
      </c>
      <c r="K13" s="37" t="s">
        <v>23</v>
      </c>
      <c r="L13" s="37" t="s">
        <v>51</v>
      </c>
      <c r="M13" s="37">
        <v>100</v>
      </c>
      <c r="N13" s="37">
        <v>550.35</v>
      </c>
      <c r="O13" s="37">
        <v>597.52</v>
      </c>
      <c r="P13" s="33">
        <f>O13</f>
        <v>597.52</v>
      </c>
      <c r="Q13" s="42">
        <v>55035</v>
      </c>
      <c r="R13" s="37">
        <v>2.29</v>
      </c>
      <c r="S13" s="37">
        <v>1</v>
      </c>
      <c r="T13" s="40">
        <f t="shared" ref="T13:T19" si="3">IF(S13=1, ABS(O13-N13)/N13, 0)</f>
        <v>8.5709094212773618E-2</v>
      </c>
      <c r="U13" s="42">
        <v>4717</v>
      </c>
      <c r="V13" s="44">
        <v>4717</v>
      </c>
    </row>
    <row r="14" spans="1:23" x14ac:dyDescent="0.25">
      <c r="A14" s="33">
        <v>10</v>
      </c>
      <c r="B14" s="34">
        <v>46203</v>
      </c>
      <c r="C14" s="34">
        <v>46255</v>
      </c>
      <c r="D14" s="35">
        <f t="shared" si="0"/>
        <v>52</v>
      </c>
      <c r="E14" s="33" t="s">
        <v>53</v>
      </c>
      <c r="F14" s="33" t="s">
        <v>700</v>
      </c>
      <c r="G14" s="36" t="s">
        <v>632</v>
      </c>
      <c r="H14" s="33" t="s">
        <v>22</v>
      </c>
      <c r="I14" s="38" t="s">
        <v>641</v>
      </c>
      <c r="J14" s="37" t="s">
        <v>29</v>
      </c>
      <c r="K14" s="37" t="s">
        <v>523</v>
      </c>
      <c r="L14" s="33" t="s">
        <v>54</v>
      </c>
      <c r="M14" s="33">
        <v>60</v>
      </c>
      <c r="N14" s="33">
        <v>20.177299999999999</v>
      </c>
      <c r="O14" s="33">
        <v>17.451599999999999</v>
      </c>
      <c r="P14" s="33">
        <v>17.451599999999999</v>
      </c>
      <c r="Q14" s="39">
        <v>121064</v>
      </c>
      <c r="R14" s="33">
        <v>55.5</v>
      </c>
      <c r="S14" s="33">
        <v>0</v>
      </c>
      <c r="T14" s="40">
        <f t="shared" si="3"/>
        <v>0</v>
      </c>
      <c r="U14" s="39">
        <v>-16354</v>
      </c>
      <c r="V14" s="45">
        <v>-16354</v>
      </c>
    </row>
    <row r="15" spans="1:23" x14ac:dyDescent="0.25">
      <c r="A15" s="33">
        <v>11</v>
      </c>
      <c r="B15" s="34">
        <v>46205</v>
      </c>
      <c r="C15" s="34">
        <v>46205</v>
      </c>
      <c r="D15" s="35">
        <f t="shared" si="0"/>
        <v>0</v>
      </c>
      <c r="E15" s="33" t="s">
        <v>55</v>
      </c>
      <c r="F15" s="33" t="s">
        <v>701</v>
      </c>
      <c r="G15" s="36" t="s">
        <v>56</v>
      </c>
      <c r="H15" s="37" t="s">
        <v>22</v>
      </c>
      <c r="I15" s="38" t="s">
        <v>680</v>
      </c>
      <c r="J15" s="37" t="s">
        <v>29</v>
      </c>
      <c r="K15" s="37" t="s">
        <v>522</v>
      </c>
      <c r="L15" s="33" t="s">
        <v>57</v>
      </c>
      <c r="M15" s="33">
        <v>-1</v>
      </c>
      <c r="N15" s="33">
        <v>3.0939999999999999</v>
      </c>
      <c r="O15" s="33">
        <v>3.0255000000000001</v>
      </c>
      <c r="P15" s="33">
        <f>O15</f>
        <v>3.0255000000000001</v>
      </c>
      <c r="Q15" s="39">
        <v>116025</v>
      </c>
      <c r="R15" s="33">
        <v>5.94</v>
      </c>
      <c r="S15" s="33">
        <v>1</v>
      </c>
      <c r="T15" s="40">
        <f t="shared" si="3"/>
        <v>2.2139625080801483E-2</v>
      </c>
      <c r="U15" s="39">
        <v>2568.75</v>
      </c>
      <c r="V15" s="41">
        <v>2568.75</v>
      </c>
    </row>
    <row r="16" spans="1:23" x14ac:dyDescent="0.25">
      <c r="A16" s="37">
        <v>12</v>
      </c>
      <c r="B16" s="34">
        <v>46211</v>
      </c>
      <c r="C16" s="34">
        <v>46217</v>
      </c>
      <c r="D16" s="35">
        <f t="shared" si="0"/>
        <v>6</v>
      </c>
      <c r="E16" s="37" t="s">
        <v>58</v>
      </c>
      <c r="F16" s="37" t="s">
        <v>702</v>
      </c>
      <c r="G16" s="38" t="s">
        <v>59</v>
      </c>
      <c r="H16" s="37" t="s">
        <v>22</v>
      </c>
      <c r="I16" s="38" t="s">
        <v>679</v>
      </c>
      <c r="J16" s="37" t="s">
        <v>23</v>
      </c>
      <c r="K16" s="37" t="s">
        <v>23</v>
      </c>
      <c r="L16" s="37" t="s">
        <v>58</v>
      </c>
      <c r="M16" s="37">
        <v>-75</v>
      </c>
      <c r="N16" s="37">
        <v>1210.816</v>
      </c>
      <c r="O16" s="37">
        <v>1155.49</v>
      </c>
      <c r="P16" s="33">
        <f>O16</f>
        <v>1155.49</v>
      </c>
      <c r="Q16" s="42">
        <v>90811.199999999997</v>
      </c>
      <c r="R16" s="37">
        <v>2.9</v>
      </c>
      <c r="S16" s="37">
        <v>1</v>
      </c>
      <c r="T16" s="40">
        <f t="shared" si="3"/>
        <v>4.5693152386489792E-2</v>
      </c>
      <c r="U16" s="42">
        <v>4149.45</v>
      </c>
      <c r="V16" s="44">
        <v>4149.45</v>
      </c>
    </row>
    <row r="17" spans="1:22" x14ac:dyDescent="0.25">
      <c r="A17" s="33">
        <v>13</v>
      </c>
      <c r="B17" s="34">
        <v>46230</v>
      </c>
      <c r="C17" s="34">
        <v>46233</v>
      </c>
      <c r="D17" s="35">
        <f t="shared" si="0"/>
        <v>3</v>
      </c>
      <c r="E17" s="33" t="s">
        <v>60</v>
      </c>
      <c r="F17" s="33" t="s">
        <v>703</v>
      </c>
      <c r="G17" s="36" t="s">
        <v>61</v>
      </c>
      <c r="H17" s="33" t="s">
        <v>22</v>
      </c>
      <c r="I17" s="36" t="s">
        <v>678</v>
      </c>
      <c r="J17" s="33" t="s">
        <v>23</v>
      </c>
      <c r="K17" s="33" t="s">
        <v>23</v>
      </c>
      <c r="L17" s="33" t="s">
        <v>60</v>
      </c>
      <c r="M17" s="33">
        <v>2000</v>
      </c>
      <c r="N17" s="33">
        <v>111.46</v>
      </c>
      <c r="O17" s="33">
        <v>117.0329</v>
      </c>
      <c r="P17" s="33">
        <f>O17</f>
        <v>117.0329</v>
      </c>
      <c r="Q17" s="39">
        <v>232660</v>
      </c>
      <c r="R17" s="33">
        <v>4.5999999999999996</v>
      </c>
      <c r="S17" s="33">
        <v>1</v>
      </c>
      <c r="T17" s="40">
        <f t="shared" si="3"/>
        <v>4.9999102817154174E-2</v>
      </c>
      <c r="U17" s="39">
        <v>11150</v>
      </c>
      <c r="V17" s="41">
        <v>11150</v>
      </c>
    </row>
    <row r="18" spans="1:22" x14ac:dyDescent="0.25">
      <c r="A18" s="33">
        <v>14</v>
      </c>
      <c r="B18" s="34">
        <v>46230</v>
      </c>
      <c r="C18" s="34">
        <v>46233</v>
      </c>
      <c r="D18" s="35">
        <f t="shared" si="0"/>
        <v>3</v>
      </c>
      <c r="E18" s="33" t="s">
        <v>62</v>
      </c>
      <c r="F18" s="33" t="s">
        <v>704</v>
      </c>
      <c r="G18" s="36" t="s">
        <v>63</v>
      </c>
      <c r="H18" s="33" t="s">
        <v>22</v>
      </c>
      <c r="I18" s="36" t="s">
        <v>677</v>
      </c>
      <c r="J18" s="33" t="s">
        <v>23</v>
      </c>
      <c r="K18" s="33" t="s">
        <v>23</v>
      </c>
      <c r="L18" s="33" t="s">
        <v>62</v>
      </c>
      <c r="M18" s="33">
        <v>-300</v>
      </c>
      <c r="N18" s="33">
        <v>337.98</v>
      </c>
      <c r="O18" s="33">
        <v>331.22</v>
      </c>
      <c r="P18" s="33">
        <f>O18</f>
        <v>331.22</v>
      </c>
      <c r="Q18" s="39">
        <v>101964</v>
      </c>
      <c r="R18" s="33">
        <v>6.8</v>
      </c>
      <c r="S18" s="33">
        <v>1</v>
      </c>
      <c r="T18" s="40">
        <f t="shared" si="3"/>
        <v>2.0001183501982336E-2</v>
      </c>
      <c r="U18" s="39">
        <v>2033</v>
      </c>
      <c r="V18" s="41">
        <v>2033</v>
      </c>
    </row>
    <row r="19" spans="1:22" x14ac:dyDescent="0.25">
      <c r="A19" s="33">
        <v>15</v>
      </c>
      <c r="B19" s="34">
        <v>46244</v>
      </c>
      <c r="C19" s="34">
        <v>46268</v>
      </c>
      <c r="D19" s="35">
        <f t="shared" si="0"/>
        <v>24</v>
      </c>
      <c r="E19" s="33" t="s">
        <v>64</v>
      </c>
      <c r="F19" s="33" t="s">
        <v>705</v>
      </c>
      <c r="G19" s="36" t="s">
        <v>65</v>
      </c>
      <c r="H19" s="33" t="s">
        <v>22</v>
      </c>
      <c r="I19" s="36" t="s">
        <v>676</v>
      </c>
      <c r="J19" s="33" t="s">
        <v>43</v>
      </c>
      <c r="K19" s="33" t="s">
        <v>43</v>
      </c>
      <c r="L19" s="33" t="s">
        <v>64</v>
      </c>
      <c r="M19" s="33">
        <v>-500</v>
      </c>
      <c r="N19" s="33">
        <v>108.102</v>
      </c>
      <c r="O19" s="33">
        <v>107.749</v>
      </c>
      <c r="P19" s="33">
        <v>107.749</v>
      </c>
      <c r="Q19" s="39">
        <v>54051</v>
      </c>
      <c r="R19" s="33">
        <v>4.5599999999999996</v>
      </c>
      <c r="S19" s="33">
        <v>1</v>
      </c>
      <c r="T19" s="40">
        <f t="shared" si="3"/>
        <v>3.2654344970491629E-3</v>
      </c>
      <c r="U19" s="39">
        <v>177</v>
      </c>
      <c r="V19" s="41">
        <v>177</v>
      </c>
    </row>
    <row r="20" spans="1:22" x14ac:dyDescent="0.25">
      <c r="A20" s="33">
        <v>16</v>
      </c>
      <c r="B20" s="34">
        <v>46244</v>
      </c>
      <c r="C20" s="34">
        <v>46254</v>
      </c>
      <c r="D20" s="35">
        <f t="shared" si="0"/>
        <v>10</v>
      </c>
      <c r="E20" s="33" t="s">
        <v>67</v>
      </c>
      <c r="F20" s="33" t="s">
        <v>706</v>
      </c>
      <c r="G20" s="36" t="s">
        <v>68</v>
      </c>
      <c r="H20" s="33" t="s">
        <v>22</v>
      </c>
      <c r="I20" s="36" t="s">
        <v>675</v>
      </c>
      <c r="J20" s="33" t="s">
        <v>29</v>
      </c>
      <c r="K20" s="33" t="s">
        <v>524</v>
      </c>
      <c r="L20" s="33" t="s">
        <v>69</v>
      </c>
      <c r="M20" s="33">
        <v>-5</v>
      </c>
      <c r="N20" s="33">
        <v>1868.84</v>
      </c>
      <c r="O20" s="33">
        <v>1860.72</v>
      </c>
      <c r="P20" s="33">
        <v>1860.72</v>
      </c>
      <c r="Q20" s="39">
        <v>185382</v>
      </c>
      <c r="R20" s="33">
        <v>11.2</v>
      </c>
      <c r="S20" s="33">
        <v>1</v>
      </c>
      <c r="T20" s="40">
        <f>IF(S20=1, ABS(O20-N20)/N20, 0)</f>
        <v>4.3449412469766758E-3</v>
      </c>
      <c r="U20" s="39">
        <v>4060</v>
      </c>
      <c r="V20" s="41">
        <v>4060</v>
      </c>
    </row>
    <row r="21" spans="1:22" x14ac:dyDescent="0.25">
      <c r="A21" s="33">
        <v>17</v>
      </c>
      <c r="B21" s="34">
        <v>46246</v>
      </c>
      <c r="C21" s="34">
        <v>46259</v>
      </c>
      <c r="D21" s="35">
        <f t="shared" si="0"/>
        <v>13</v>
      </c>
      <c r="E21" s="33" t="s">
        <v>70</v>
      </c>
      <c r="F21" s="33" t="s">
        <v>707</v>
      </c>
      <c r="G21" s="36" t="s">
        <v>71</v>
      </c>
      <c r="H21" s="33" t="s">
        <v>28</v>
      </c>
      <c r="I21" s="36" t="s">
        <v>745</v>
      </c>
      <c r="J21" s="33" t="s">
        <v>43</v>
      </c>
      <c r="K21" s="33" t="s">
        <v>43</v>
      </c>
      <c r="L21" s="33" t="s">
        <v>70</v>
      </c>
      <c r="M21" s="33">
        <v>2000</v>
      </c>
      <c r="N21" s="33">
        <v>82.31</v>
      </c>
      <c r="O21" s="33">
        <v>83.02</v>
      </c>
      <c r="P21" s="33">
        <v>83.02</v>
      </c>
      <c r="Q21" s="39">
        <v>164620</v>
      </c>
      <c r="R21" s="33">
        <v>23.92</v>
      </c>
      <c r="S21" s="33">
        <v>1</v>
      </c>
      <c r="T21" s="40">
        <f>IF(S21=1, ABS(O21-N21)/N21, 0)</f>
        <v>8.6259263758959263E-3</v>
      </c>
      <c r="U21" s="39">
        <v>1420</v>
      </c>
      <c r="V21" s="41">
        <v>0</v>
      </c>
    </row>
    <row r="22" spans="1:22" x14ac:dyDescent="0.25">
      <c r="A22" s="33">
        <v>17</v>
      </c>
      <c r="B22" s="34">
        <v>46246</v>
      </c>
      <c r="C22" s="34">
        <v>46259</v>
      </c>
      <c r="D22" s="35">
        <f t="shared" si="0"/>
        <v>13</v>
      </c>
      <c r="E22" s="33" t="s">
        <v>72</v>
      </c>
      <c r="F22" s="33" t="s">
        <v>708</v>
      </c>
      <c r="G22" s="36" t="s">
        <v>633</v>
      </c>
      <c r="H22" s="33" t="s">
        <v>28</v>
      </c>
      <c r="I22" s="36" t="s">
        <v>745</v>
      </c>
      <c r="J22" s="33" t="s">
        <v>29</v>
      </c>
      <c r="K22" s="33" t="s">
        <v>525</v>
      </c>
      <c r="L22" s="33" t="s">
        <v>72</v>
      </c>
      <c r="M22" s="33">
        <v>-4</v>
      </c>
      <c r="N22" s="33">
        <v>7763</v>
      </c>
      <c r="O22" s="33">
        <v>7689.75</v>
      </c>
      <c r="P22" s="33">
        <v>7689.75</v>
      </c>
      <c r="Q22" s="39">
        <v>154290</v>
      </c>
      <c r="R22" s="33">
        <v>17.079999999999998</v>
      </c>
      <c r="S22" s="33">
        <v>1</v>
      </c>
      <c r="T22" s="40">
        <f>IF(S22=1, ABS(O22-N22)/N22, 0)</f>
        <v>9.435785134612908E-3</v>
      </c>
      <c r="U22" s="39">
        <v>1418</v>
      </c>
      <c r="V22" s="41">
        <v>2838</v>
      </c>
    </row>
    <row r="23" spans="1:22" x14ac:dyDescent="0.25">
      <c r="A23" s="33">
        <v>18</v>
      </c>
      <c r="B23" s="34">
        <v>46246</v>
      </c>
      <c r="C23" s="34">
        <v>46246</v>
      </c>
      <c r="D23" s="35">
        <f t="shared" si="0"/>
        <v>0</v>
      </c>
      <c r="E23" s="33" t="s">
        <v>73</v>
      </c>
      <c r="F23" s="33" t="s">
        <v>709</v>
      </c>
      <c r="G23" s="36" t="s">
        <v>74</v>
      </c>
      <c r="H23" s="33" t="s">
        <v>22</v>
      </c>
      <c r="I23" s="36" t="s">
        <v>674</v>
      </c>
      <c r="J23" s="33" t="s">
        <v>29</v>
      </c>
      <c r="K23" s="33" t="s">
        <v>522</v>
      </c>
      <c r="L23" s="33" t="s">
        <v>75</v>
      </c>
      <c r="M23" s="33">
        <v>-10</v>
      </c>
      <c r="N23" s="33">
        <v>0.16914999999999999</v>
      </c>
      <c r="O23" s="33">
        <v>0.16313</v>
      </c>
      <c r="P23" s="33">
        <v>0.16313</v>
      </c>
      <c r="Q23" s="39">
        <v>182705</v>
      </c>
      <c r="R23" s="33">
        <v>29.6</v>
      </c>
      <c r="S23" s="33">
        <v>1</v>
      </c>
      <c r="T23" s="40">
        <f>IF(S23=1, ABS(O23-N23)/N23, 0)</f>
        <v>3.5589713272243556E-2</v>
      </c>
      <c r="U23" s="39">
        <v>6742</v>
      </c>
      <c r="V23" s="41">
        <v>6742</v>
      </c>
    </row>
    <row r="24" spans="1:22" x14ac:dyDescent="0.25">
      <c r="A24" s="33">
        <v>19</v>
      </c>
      <c r="B24" s="34">
        <v>46254</v>
      </c>
      <c r="C24" s="34">
        <v>46254</v>
      </c>
      <c r="D24" s="35">
        <f t="shared" si="0"/>
        <v>0</v>
      </c>
      <c r="E24" s="33" t="s">
        <v>31</v>
      </c>
      <c r="F24" s="33" t="s">
        <v>692</v>
      </c>
      <c r="G24" s="36" t="s">
        <v>32</v>
      </c>
      <c r="H24" s="33" t="s">
        <v>22</v>
      </c>
      <c r="I24" s="36" t="s">
        <v>673</v>
      </c>
      <c r="J24" s="33" t="s">
        <v>29</v>
      </c>
      <c r="K24" s="33" t="s">
        <v>521</v>
      </c>
      <c r="L24" s="33" t="s">
        <v>76</v>
      </c>
      <c r="M24" s="33">
        <v>-10</v>
      </c>
      <c r="N24" s="33">
        <v>1.1704300000000001</v>
      </c>
      <c r="O24" s="33">
        <v>1.1695</v>
      </c>
      <c r="P24" s="33">
        <v>1.1695</v>
      </c>
      <c r="Q24" s="39">
        <v>1451000</v>
      </c>
      <c r="R24" s="33">
        <v>6.28</v>
      </c>
      <c r="S24" s="33">
        <v>1</v>
      </c>
      <c r="T24" s="40">
        <v>8.0000000000000004E-4</v>
      </c>
      <c r="U24" s="39">
        <v>1245</v>
      </c>
      <c r="V24" s="41">
        <v>1245</v>
      </c>
    </row>
    <row r="25" spans="1:22" x14ac:dyDescent="0.25">
      <c r="A25" s="33">
        <v>20</v>
      </c>
      <c r="B25" s="34">
        <v>46255</v>
      </c>
      <c r="C25" s="34">
        <v>46257</v>
      </c>
      <c r="D25" s="35">
        <f t="shared" si="0"/>
        <v>2</v>
      </c>
      <c r="E25" s="33" t="s">
        <v>77</v>
      </c>
      <c r="F25" s="33" t="s">
        <v>710</v>
      </c>
      <c r="G25" s="36" t="s">
        <v>78</v>
      </c>
      <c r="H25" s="33" t="s">
        <v>22</v>
      </c>
      <c r="I25" s="36" t="s">
        <v>672</v>
      </c>
      <c r="J25" s="33" t="s">
        <v>29</v>
      </c>
      <c r="K25" s="33" t="s">
        <v>521</v>
      </c>
      <c r="L25" s="33" t="s">
        <v>79</v>
      </c>
      <c r="M25" s="33">
        <v>-6</v>
      </c>
      <c r="N25" s="33">
        <v>0.72838000000000003</v>
      </c>
      <c r="O25" s="33">
        <v>0.72550000000000003</v>
      </c>
      <c r="P25" s="33">
        <v>0.72550000000000003</v>
      </c>
      <c r="Q25" s="39">
        <v>436235</v>
      </c>
      <c r="R25" s="33">
        <v>4.5599999999999996</v>
      </c>
      <c r="S25" s="33">
        <v>1</v>
      </c>
      <c r="T25" s="40">
        <f t="shared" ref="T25:T36" si="4">IF(S25=1, ABS(O25-N25)/N25, 0)</f>
        <v>3.9539800653504951E-3</v>
      </c>
      <c r="U25" s="39">
        <v>1710</v>
      </c>
      <c r="V25" s="41">
        <v>1710</v>
      </c>
    </row>
    <row r="26" spans="1:22" x14ac:dyDescent="0.25">
      <c r="A26" s="33">
        <v>21</v>
      </c>
      <c r="B26" s="34">
        <v>46258</v>
      </c>
      <c r="C26" s="34">
        <v>46259</v>
      </c>
      <c r="D26" s="35">
        <f t="shared" ref="D26:D62" si="5">C26-B26</f>
        <v>1</v>
      </c>
      <c r="E26" s="33" t="s">
        <v>80</v>
      </c>
      <c r="F26" s="33" t="s">
        <v>697</v>
      </c>
      <c r="G26" s="36" t="s">
        <v>47</v>
      </c>
      <c r="H26" s="33" t="s">
        <v>22</v>
      </c>
      <c r="I26" s="36" t="s">
        <v>671</v>
      </c>
      <c r="J26" s="33" t="s">
        <v>29</v>
      </c>
      <c r="K26" s="33" t="s">
        <v>114</v>
      </c>
      <c r="L26" s="33" t="s">
        <v>81</v>
      </c>
      <c r="M26" s="33">
        <v>-3</v>
      </c>
      <c r="N26" s="33">
        <v>4703.32</v>
      </c>
      <c r="O26" s="33">
        <v>4663.8</v>
      </c>
      <c r="P26" s="33">
        <v>4663.8</v>
      </c>
      <c r="Q26" s="39">
        <v>141200</v>
      </c>
      <c r="R26" s="33">
        <v>9.6</v>
      </c>
      <c r="S26" s="33">
        <v>1</v>
      </c>
      <c r="T26" s="40">
        <f t="shared" si="4"/>
        <v>8.4025752021974973E-3</v>
      </c>
      <c r="U26" s="39">
        <v>715</v>
      </c>
      <c r="V26" s="41">
        <v>715</v>
      </c>
    </row>
    <row r="27" spans="1:22" x14ac:dyDescent="0.25">
      <c r="A27" s="33">
        <v>22</v>
      </c>
      <c r="B27" s="34">
        <v>46258</v>
      </c>
      <c r="C27" s="34">
        <v>46258</v>
      </c>
      <c r="D27" s="46">
        <v>0</v>
      </c>
      <c r="E27" s="33" t="s">
        <v>82</v>
      </c>
      <c r="F27" s="33" t="s">
        <v>711</v>
      </c>
      <c r="G27" s="36" t="s">
        <v>83</v>
      </c>
      <c r="H27" s="33" t="s">
        <v>22</v>
      </c>
      <c r="I27" s="36" t="s">
        <v>670</v>
      </c>
      <c r="J27" s="33" t="s">
        <v>23</v>
      </c>
      <c r="K27" s="33" t="s">
        <v>23</v>
      </c>
      <c r="L27" s="33" t="s">
        <v>82</v>
      </c>
      <c r="M27" s="33">
        <v>-1000</v>
      </c>
      <c r="N27" s="33">
        <v>133.33799999999999</v>
      </c>
      <c r="O27" s="33">
        <v>129.84</v>
      </c>
      <c r="P27" s="33">
        <v>129.84</v>
      </c>
      <c r="Q27" s="39">
        <v>133338</v>
      </c>
      <c r="R27" s="33">
        <v>9.65</v>
      </c>
      <c r="S27" s="33">
        <v>1</v>
      </c>
      <c r="T27" s="40">
        <f t="shared" si="4"/>
        <v>2.623408180713668E-2</v>
      </c>
      <c r="U27" s="39">
        <v>3498</v>
      </c>
      <c r="V27" s="41">
        <v>3498</v>
      </c>
    </row>
    <row r="28" spans="1:22" x14ac:dyDescent="0.25">
      <c r="A28" s="33">
        <v>23</v>
      </c>
      <c r="B28" s="34">
        <v>46265</v>
      </c>
      <c r="C28" s="34">
        <v>46266</v>
      </c>
      <c r="D28" s="35">
        <f t="shared" si="5"/>
        <v>1</v>
      </c>
      <c r="E28" s="33" t="s">
        <v>84</v>
      </c>
      <c r="F28" s="33" t="s">
        <v>712</v>
      </c>
      <c r="G28" s="36" t="s">
        <v>85</v>
      </c>
      <c r="H28" s="33" t="s">
        <v>22</v>
      </c>
      <c r="I28" s="36" t="s">
        <v>669</v>
      </c>
      <c r="J28" s="33" t="s">
        <v>23</v>
      </c>
      <c r="K28" s="33" t="s">
        <v>23</v>
      </c>
      <c r="L28" s="33" t="s">
        <v>84</v>
      </c>
      <c r="M28" s="33">
        <v>-1000</v>
      </c>
      <c r="N28" s="33">
        <v>59.798999999999999</v>
      </c>
      <c r="O28" s="33">
        <v>57.99</v>
      </c>
      <c r="P28" s="33">
        <v>57.99</v>
      </c>
      <c r="Q28" s="39">
        <v>59799</v>
      </c>
      <c r="R28" s="33">
        <v>11.32</v>
      </c>
      <c r="S28" s="33">
        <v>1</v>
      </c>
      <c r="T28" s="40">
        <f t="shared" si="4"/>
        <v>3.0251341995685504E-2</v>
      </c>
      <c r="U28" s="39">
        <v>1809</v>
      </c>
      <c r="V28" s="41">
        <v>1809</v>
      </c>
    </row>
    <row r="29" spans="1:22" x14ac:dyDescent="0.25">
      <c r="A29" s="33">
        <v>24</v>
      </c>
      <c r="B29" s="34">
        <v>46266</v>
      </c>
      <c r="C29" s="34">
        <v>46268</v>
      </c>
      <c r="D29" s="35">
        <f t="shared" si="5"/>
        <v>2</v>
      </c>
      <c r="E29" s="33" t="s">
        <v>86</v>
      </c>
      <c r="F29" s="33" t="s">
        <v>713</v>
      </c>
      <c r="G29" s="36" t="s">
        <v>87</v>
      </c>
      <c r="H29" s="33" t="s">
        <v>22</v>
      </c>
      <c r="I29" s="36" t="s">
        <v>668</v>
      </c>
      <c r="J29" s="33" t="s">
        <v>23</v>
      </c>
      <c r="K29" s="33" t="s">
        <v>23</v>
      </c>
      <c r="L29" s="33" t="s">
        <v>86</v>
      </c>
      <c r="M29" s="33">
        <v>900</v>
      </c>
      <c r="N29" s="33">
        <v>269.69299999999998</v>
      </c>
      <c r="O29" s="33">
        <v>270.42500000000001</v>
      </c>
      <c r="P29" s="33">
        <v>270.42500000000001</v>
      </c>
      <c r="Q29" s="39">
        <v>242723</v>
      </c>
      <c r="R29" s="33">
        <v>12.28</v>
      </c>
      <c r="S29" s="33">
        <v>1</v>
      </c>
      <c r="T29" s="40">
        <f t="shared" si="4"/>
        <v>2.7141972539147393E-3</v>
      </c>
      <c r="U29" s="39">
        <v>2891</v>
      </c>
      <c r="V29" s="41">
        <v>2891</v>
      </c>
    </row>
    <row r="30" spans="1:22" x14ac:dyDescent="0.25">
      <c r="A30" s="33">
        <v>25</v>
      </c>
      <c r="B30" s="34">
        <v>46266</v>
      </c>
      <c r="C30" s="34">
        <v>46268</v>
      </c>
      <c r="D30" s="35">
        <f t="shared" si="5"/>
        <v>2</v>
      </c>
      <c r="E30" s="33" t="s">
        <v>88</v>
      </c>
      <c r="F30" s="33" t="s">
        <v>714</v>
      </c>
      <c r="G30" s="36" t="s">
        <v>89</v>
      </c>
      <c r="H30" s="33" t="s">
        <v>22</v>
      </c>
      <c r="I30" s="36" t="s">
        <v>667</v>
      </c>
      <c r="J30" s="33" t="s">
        <v>23</v>
      </c>
      <c r="K30" s="33" t="s">
        <v>23</v>
      </c>
      <c r="L30" s="33" t="s">
        <v>88</v>
      </c>
      <c r="M30" s="33">
        <v>310</v>
      </c>
      <c r="N30" s="33">
        <v>951.66</v>
      </c>
      <c r="O30" s="33">
        <v>949.6</v>
      </c>
      <c r="P30" s="33">
        <v>949.6</v>
      </c>
      <c r="Q30" s="39">
        <v>295017</v>
      </c>
      <c r="R30" s="33">
        <v>9.18</v>
      </c>
      <c r="S30" s="33">
        <v>0</v>
      </c>
      <c r="T30" s="40">
        <f t="shared" si="4"/>
        <v>0</v>
      </c>
      <c r="U30" s="39">
        <v>-642</v>
      </c>
      <c r="V30" s="45">
        <v>-642</v>
      </c>
    </row>
    <row r="31" spans="1:22" x14ac:dyDescent="0.25">
      <c r="A31" s="33">
        <v>26</v>
      </c>
      <c r="B31" s="34">
        <v>46266</v>
      </c>
      <c r="C31" s="34">
        <v>46267</v>
      </c>
      <c r="D31" s="35">
        <f t="shared" si="5"/>
        <v>1</v>
      </c>
      <c r="E31" s="33" t="s">
        <v>90</v>
      </c>
      <c r="F31" s="33" t="s">
        <v>715</v>
      </c>
      <c r="G31" s="36" t="s">
        <v>91</v>
      </c>
      <c r="H31" s="33" t="s">
        <v>22</v>
      </c>
      <c r="I31" s="36" t="s">
        <v>664</v>
      </c>
      <c r="J31" s="33" t="s">
        <v>23</v>
      </c>
      <c r="K31" s="33" t="s">
        <v>23</v>
      </c>
      <c r="L31" s="33" t="s">
        <v>90</v>
      </c>
      <c r="M31" s="33">
        <v>400</v>
      </c>
      <c r="N31" s="33">
        <v>331.50700000000001</v>
      </c>
      <c r="O31" s="33">
        <v>334.31</v>
      </c>
      <c r="P31" s="33">
        <v>334.31</v>
      </c>
      <c r="Q31" s="39">
        <v>132602</v>
      </c>
      <c r="R31" s="33">
        <v>6.69</v>
      </c>
      <c r="S31" s="33">
        <v>1</v>
      </c>
      <c r="T31" s="40">
        <f t="shared" si="4"/>
        <v>8.455326735182055E-3</v>
      </c>
      <c r="U31" s="39">
        <v>4108</v>
      </c>
      <c r="V31" s="41">
        <v>4108</v>
      </c>
    </row>
    <row r="32" spans="1:22" x14ac:dyDescent="0.25">
      <c r="A32" s="33">
        <v>27</v>
      </c>
      <c r="B32" s="34">
        <v>46266</v>
      </c>
      <c r="C32" s="34">
        <v>46283</v>
      </c>
      <c r="D32" s="35">
        <f t="shared" si="5"/>
        <v>17</v>
      </c>
      <c r="E32" s="33" t="s">
        <v>92</v>
      </c>
      <c r="F32" s="33" t="s">
        <v>716</v>
      </c>
      <c r="G32" s="36" t="s">
        <v>93</v>
      </c>
      <c r="H32" s="33" t="s">
        <v>22</v>
      </c>
      <c r="I32" s="36" t="s">
        <v>666</v>
      </c>
      <c r="J32" s="33" t="s">
        <v>23</v>
      </c>
      <c r="K32" s="33" t="s">
        <v>23</v>
      </c>
      <c r="L32" s="33" t="s">
        <v>92</v>
      </c>
      <c r="M32" s="33">
        <v>-8000</v>
      </c>
      <c r="N32" s="33">
        <v>50.59</v>
      </c>
      <c r="O32" s="33">
        <v>49.67</v>
      </c>
      <c r="P32" s="33">
        <v>49.67</v>
      </c>
      <c r="Q32" s="39">
        <v>397331</v>
      </c>
      <c r="R32" s="33">
        <v>45.99</v>
      </c>
      <c r="S32" s="33">
        <v>1</v>
      </c>
      <c r="T32" s="40">
        <f t="shared" si="4"/>
        <v>1.8185412136785959E-2</v>
      </c>
      <c r="U32" s="39">
        <v>7389</v>
      </c>
      <c r="V32" s="41">
        <v>7389</v>
      </c>
    </row>
    <row r="33" spans="1:22" x14ac:dyDescent="0.25">
      <c r="A33" s="33">
        <v>28</v>
      </c>
      <c r="B33" s="34">
        <v>46274</v>
      </c>
      <c r="C33" s="34">
        <v>46276</v>
      </c>
      <c r="D33" s="35">
        <f t="shared" si="5"/>
        <v>2</v>
      </c>
      <c r="E33" s="33" t="s">
        <v>572</v>
      </c>
      <c r="F33" s="33" t="s">
        <v>717</v>
      </c>
      <c r="G33" s="36" t="s">
        <v>573</v>
      </c>
      <c r="H33" s="33" t="s">
        <v>22</v>
      </c>
      <c r="I33" s="36" t="s">
        <v>665</v>
      </c>
      <c r="J33" s="33" t="s">
        <v>23</v>
      </c>
      <c r="K33" s="33" t="s">
        <v>23</v>
      </c>
      <c r="L33" s="33" t="s">
        <v>572</v>
      </c>
      <c r="M33" s="33">
        <v>13000</v>
      </c>
      <c r="N33" s="33">
        <v>8.6943999999999999</v>
      </c>
      <c r="O33" s="33">
        <v>8.8673000000000002</v>
      </c>
      <c r="P33" s="33">
        <v>8.8673000000000002</v>
      </c>
      <c r="Q33" s="39">
        <v>113028</v>
      </c>
      <c r="R33" s="33">
        <v>105.64</v>
      </c>
      <c r="S33" s="33">
        <v>1</v>
      </c>
      <c r="T33" s="40">
        <f t="shared" si="4"/>
        <v>1.9886363636363667E-2</v>
      </c>
      <c r="U33" s="39">
        <v>2247</v>
      </c>
      <c r="V33" s="41">
        <v>2247</v>
      </c>
    </row>
    <row r="34" spans="1:22" x14ac:dyDescent="0.25">
      <c r="A34" s="33">
        <v>29</v>
      </c>
      <c r="B34" s="34">
        <v>46274</v>
      </c>
      <c r="C34" s="34">
        <v>46276</v>
      </c>
      <c r="D34" s="35">
        <f t="shared" si="5"/>
        <v>2</v>
      </c>
      <c r="E34" s="33" t="s">
        <v>90</v>
      </c>
      <c r="F34" s="33" t="s">
        <v>715</v>
      </c>
      <c r="G34" s="36" t="s">
        <v>91</v>
      </c>
      <c r="H34" s="33" t="s">
        <v>22</v>
      </c>
      <c r="I34" s="36" t="s">
        <v>664</v>
      </c>
      <c r="J34" s="33" t="s">
        <v>23</v>
      </c>
      <c r="K34" s="33" t="s">
        <v>23</v>
      </c>
      <c r="L34" s="33" t="s">
        <v>90</v>
      </c>
      <c r="M34" s="33">
        <v>400</v>
      </c>
      <c r="N34" s="33">
        <v>318.87</v>
      </c>
      <c r="O34" s="33">
        <v>322</v>
      </c>
      <c r="P34" s="33">
        <v>322</v>
      </c>
      <c r="Q34" s="39">
        <v>127547</v>
      </c>
      <c r="R34" s="33">
        <v>4.71</v>
      </c>
      <c r="S34" s="33">
        <v>1</v>
      </c>
      <c r="T34" s="40">
        <f t="shared" si="4"/>
        <v>9.8159124408065835E-3</v>
      </c>
      <c r="U34" s="39">
        <v>1253</v>
      </c>
      <c r="V34" s="41">
        <v>1253</v>
      </c>
    </row>
    <row r="35" spans="1:22" x14ac:dyDescent="0.25">
      <c r="A35" s="33">
        <v>30</v>
      </c>
      <c r="B35" s="34">
        <v>46275</v>
      </c>
      <c r="C35" s="34">
        <v>46279</v>
      </c>
      <c r="D35" s="35">
        <f t="shared" si="5"/>
        <v>4</v>
      </c>
      <c r="E35" s="33" t="s">
        <v>574</v>
      </c>
      <c r="F35" s="33" t="s">
        <v>718</v>
      </c>
      <c r="G35" s="36" t="s">
        <v>575</v>
      </c>
      <c r="H35" s="33" t="s">
        <v>22</v>
      </c>
      <c r="I35" s="36" t="s">
        <v>663</v>
      </c>
      <c r="J35" s="33" t="s">
        <v>29</v>
      </c>
      <c r="K35" s="33" t="s">
        <v>525</v>
      </c>
      <c r="L35" s="33" t="s">
        <v>574</v>
      </c>
      <c r="M35" s="33">
        <v>1</v>
      </c>
      <c r="N35" s="33">
        <v>52061.3</v>
      </c>
      <c r="O35" s="33">
        <v>52341</v>
      </c>
      <c r="P35" s="33">
        <v>52341</v>
      </c>
      <c r="Q35" s="39">
        <v>26031</v>
      </c>
      <c r="R35" s="33">
        <v>3.11</v>
      </c>
      <c r="S35" s="33">
        <v>1</v>
      </c>
      <c r="T35" s="40">
        <f t="shared" si="4"/>
        <v>5.3725127878096988E-3</v>
      </c>
      <c r="U35" s="39">
        <v>141</v>
      </c>
      <c r="V35" s="41">
        <v>141</v>
      </c>
    </row>
    <row r="36" spans="1:22" x14ac:dyDescent="0.25">
      <c r="A36" s="33">
        <v>31</v>
      </c>
      <c r="B36" s="34">
        <v>46275</v>
      </c>
      <c r="C36" s="34">
        <v>46283</v>
      </c>
      <c r="D36" s="35">
        <f t="shared" si="5"/>
        <v>8</v>
      </c>
      <c r="E36" s="33" t="s">
        <v>51</v>
      </c>
      <c r="F36" s="33" t="s">
        <v>699</v>
      </c>
      <c r="G36" s="36" t="s">
        <v>576</v>
      </c>
      <c r="H36" s="33" t="s">
        <v>22</v>
      </c>
      <c r="I36" s="36" t="s">
        <v>662</v>
      </c>
      <c r="J36" s="33" t="s">
        <v>23</v>
      </c>
      <c r="K36" s="33" t="s">
        <v>23</v>
      </c>
      <c r="L36" s="33" t="s">
        <v>51</v>
      </c>
      <c r="M36" s="33">
        <v>-280</v>
      </c>
      <c r="N36" s="33">
        <v>674.59</v>
      </c>
      <c r="O36" s="33">
        <v>688</v>
      </c>
      <c r="P36" s="33">
        <v>688</v>
      </c>
      <c r="Q36" s="39">
        <v>188496</v>
      </c>
      <c r="R36" s="33">
        <v>4.5</v>
      </c>
      <c r="S36" s="33">
        <v>0</v>
      </c>
      <c r="T36" s="40">
        <f t="shared" si="4"/>
        <v>0</v>
      </c>
      <c r="U36" s="39">
        <v>-3825</v>
      </c>
      <c r="V36" s="45">
        <v>-3825</v>
      </c>
    </row>
    <row r="37" spans="1:22" x14ac:dyDescent="0.25">
      <c r="A37" s="33">
        <v>32</v>
      </c>
      <c r="B37" s="34">
        <v>46275</v>
      </c>
      <c r="C37" s="34">
        <v>46276</v>
      </c>
      <c r="D37" s="35">
        <f t="shared" si="5"/>
        <v>1</v>
      </c>
      <c r="E37" s="33" t="s">
        <v>577</v>
      </c>
      <c r="F37" s="33" t="s">
        <v>719</v>
      </c>
      <c r="G37" s="36" t="s">
        <v>578</v>
      </c>
      <c r="H37" s="33" t="s">
        <v>22</v>
      </c>
      <c r="I37" s="36" t="s">
        <v>661</v>
      </c>
      <c r="J37" s="33" t="s">
        <v>23</v>
      </c>
      <c r="K37" s="33" t="s">
        <v>23</v>
      </c>
      <c r="L37" s="33" t="s">
        <v>577</v>
      </c>
      <c r="M37" s="33">
        <v>250</v>
      </c>
      <c r="N37" s="33">
        <v>113.7</v>
      </c>
      <c r="O37" s="33">
        <v>115.08</v>
      </c>
      <c r="P37" s="33">
        <v>115.08</v>
      </c>
      <c r="Q37" s="39">
        <v>28770</v>
      </c>
      <c r="R37" s="33">
        <v>2.94</v>
      </c>
      <c r="S37" s="33">
        <v>1</v>
      </c>
      <c r="T37" s="40">
        <f t="shared" ref="T37:T40" si="6">IF(S37=1, ABS(O37-N37)/N37, 0)</f>
        <v>1.2137203166226873E-2</v>
      </c>
      <c r="U37" s="39">
        <v>345</v>
      </c>
      <c r="V37" s="41">
        <v>345</v>
      </c>
    </row>
    <row r="38" spans="1:22" x14ac:dyDescent="0.25">
      <c r="A38" s="33">
        <v>33</v>
      </c>
      <c r="B38" s="34">
        <v>46275</v>
      </c>
      <c r="C38" s="34">
        <v>46276</v>
      </c>
      <c r="D38" s="35">
        <f t="shared" si="5"/>
        <v>1</v>
      </c>
      <c r="E38" s="33" t="s">
        <v>579</v>
      </c>
      <c r="F38" s="33" t="s">
        <v>720</v>
      </c>
      <c r="G38" s="36" t="s">
        <v>580</v>
      </c>
      <c r="H38" s="33" t="s">
        <v>22</v>
      </c>
      <c r="I38" s="36" t="s">
        <v>660</v>
      </c>
      <c r="J38" s="33" t="s">
        <v>29</v>
      </c>
      <c r="K38" s="33" t="s">
        <v>112</v>
      </c>
      <c r="L38" s="33" t="s">
        <v>579</v>
      </c>
      <c r="M38" s="33">
        <v>1</v>
      </c>
      <c r="N38" s="33">
        <v>120.35</v>
      </c>
      <c r="O38" s="33">
        <v>120.57</v>
      </c>
      <c r="P38" s="33">
        <v>120.57</v>
      </c>
      <c r="Q38" s="39">
        <v>120370</v>
      </c>
      <c r="R38" s="33">
        <v>2.2999999999999998</v>
      </c>
      <c r="S38" s="33">
        <v>1</v>
      </c>
      <c r="T38" s="40">
        <f t="shared" si="6"/>
        <v>1.8280016618196831E-3</v>
      </c>
      <c r="U38" s="39">
        <v>220</v>
      </c>
      <c r="V38" s="41">
        <v>220</v>
      </c>
    </row>
    <row r="39" spans="1:22" x14ac:dyDescent="0.25">
      <c r="A39" s="33">
        <v>34</v>
      </c>
      <c r="B39" s="34">
        <v>46281</v>
      </c>
      <c r="C39" s="34">
        <v>46288</v>
      </c>
      <c r="D39" s="35">
        <f t="shared" si="5"/>
        <v>7</v>
      </c>
      <c r="E39" s="33" t="s">
        <v>582</v>
      </c>
      <c r="F39" s="33" t="s">
        <v>721</v>
      </c>
      <c r="G39" s="36" t="s">
        <v>583</v>
      </c>
      <c r="H39" s="33" t="s">
        <v>22</v>
      </c>
      <c r="I39" s="36" t="s">
        <v>659</v>
      </c>
      <c r="J39" s="33" t="s">
        <v>43</v>
      </c>
      <c r="K39" s="33" t="s">
        <v>43</v>
      </c>
      <c r="L39" s="33" t="s">
        <v>582</v>
      </c>
      <c r="M39" s="33">
        <v>2000</v>
      </c>
      <c r="N39" s="33">
        <v>45.205500000000001</v>
      </c>
      <c r="O39" s="33">
        <v>46.289000000000001</v>
      </c>
      <c r="P39" s="33">
        <v>46.289000000000001</v>
      </c>
      <c r="Q39" s="39">
        <f>ABS(N39*M39)</f>
        <v>90411</v>
      </c>
      <c r="R39" s="33">
        <v>23.76</v>
      </c>
      <c r="S39" s="33">
        <v>1</v>
      </c>
      <c r="T39" s="40">
        <f t="shared" si="6"/>
        <v>2.3968322438641332E-2</v>
      </c>
      <c r="U39" s="39">
        <v>2167</v>
      </c>
      <c r="V39" s="41">
        <v>2167</v>
      </c>
    </row>
    <row r="40" spans="1:22" x14ac:dyDescent="0.25">
      <c r="A40" s="33">
        <v>35</v>
      </c>
      <c r="B40" s="34">
        <v>46283</v>
      </c>
      <c r="C40" s="34">
        <v>46288</v>
      </c>
      <c r="D40" s="35">
        <f t="shared" si="5"/>
        <v>5</v>
      </c>
      <c r="E40" s="33" t="s">
        <v>584</v>
      </c>
      <c r="F40" s="33" t="s">
        <v>722</v>
      </c>
      <c r="G40" s="36" t="s">
        <v>585</v>
      </c>
      <c r="H40" s="33" t="s">
        <v>22</v>
      </c>
      <c r="I40" s="36" t="s">
        <v>658</v>
      </c>
      <c r="J40" s="33" t="s">
        <v>23</v>
      </c>
      <c r="K40" s="33" t="s">
        <v>23</v>
      </c>
      <c r="L40" s="33" t="s">
        <v>584</v>
      </c>
      <c r="M40" s="33">
        <v>1000</v>
      </c>
      <c r="N40" s="33">
        <v>35.601500000000001</v>
      </c>
      <c r="O40" s="33">
        <v>35.162700000000001</v>
      </c>
      <c r="P40" s="33">
        <v>35.162700000000001</v>
      </c>
      <c r="Q40" s="39">
        <f>ABS(N40*M40)</f>
        <v>35601.5</v>
      </c>
      <c r="R40" s="33">
        <v>7.57</v>
      </c>
      <c r="S40" s="33">
        <v>0</v>
      </c>
      <c r="T40" s="40">
        <f t="shared" si="6"/>
        <v>0</v>
      </c>
      <c r="U40" s="39">
        <v>-438</v>
      </c>
      <c r="V40" s="45">
        <v>-438</v>
      </c>
    </row>
    <row r="41" spans="1:22" x14ac:dyDescent="0.25">
      <c r="A41" s="33">
        <v>36</v>
      </c>
      <c r="B41" s="34">
        <v>46286</v>
      </c>
      <c r="C41" s="34">
        <v>46288</v>
      </c>
      <c r="D41" s="35">
        <f t="shared" si="5"/>
        <v>2</v>
      </c>
      <c r="E41" s="33" t="s">
        <v>586</v>
      </c>
      <c r="F41" s="33" t="s">
        <v>723</v>
      </c>
      <c r="G41" s="36" t="s">
        <v>587</v>
      </c>
      <c r="H41" s="33" t="s">
        <v>22</v>
      </c>
      <c r="I41" s="36" t="s">
        <v>657</v>
      </c>
      <c r="J41" s="33" t="s">
        <v>23</v>
      </c>
      <c r="K41" s="33" t="s">
        <v>23</v>
      </c>
      <c r="L41" s="33" t="s">
        <v>586</v>
      </c>
      <c r="M41" s="33">
        <v>700</v>
      </c>
      <c r="N41" s="33">
        <v>79.950999999999993</v>
      </c>
      <c r="O41" s="33">
        <v>79.498000000000005</v>
      </c>
      <c r="P41" s="33">
        <v>79.498000000000005</v>
      </c>
      <c r="Q41" s="39">
        <v>55902</v>
      </c>
      <c r="R41" s="33">
        <v>5.63</v>
      </c>
      <c r="S41" s="33">
        <v>0</v>
      </c>
      <c r="T41" s="40">
        <f t="shared" ref="T41:T44" si="7">IF(S41=1, ABS(O41-N41)/N41, 0)</f>
        <v>0</v>
      </c>
      <c r="U41" s="39">
        <v>-317</v>
      </c>
      <c r="V41" s="45">
        <v>-317</v>
      </c>
    </row>
    <row r="42" spans="1:22" x14ac:dyDescent="0.25">
      <c r="A42" s="33">
        <v>37</v>
      </c>
      <c r="B42" s="34">
        <v>46286</v>
      </c>
      <c r="C42" s="34">
        <v>46288</v>
      </c>
      <c r="D42" s="35">
        <f t="shared" si="5"/>
        <v>2</v>
      </c>
      <c r="E42" s="33" t="s">
        <v>588</v>
      </c>
      <c r="F42" s="33" t="s">
        <v>724</v>
      </c>
      <c r="G42" s="36" t="s">
        <v>589</v>
      </c>
      <c r="H42" s="33" t="s">
        <v>22</v>
      </c>
      <c r="I42" s="36" t="s">
        <v>656</v>
      </c>
      <c r="J42" s="33" t="s">
        <v>23</v>
      </c>
      <c r="K42" s="33" t="s">
        <v>23</v>
      </c>
      <c r="L42" s="33" t="s">
        <v>588</v>
      </c>
      <c r="M42" s="33">
        <v>300</v>
      </c>
      <c r="N42" s="33">
        <v>298.27</v>
      </c>
      <c r="O42" s="33">
        <v>304.00940000000003</v>
      </c>
      <c r="P42" s="33">
        <v>304.00940000000003</v>
      </c>
      <c r="Q42" s="39">
        <f>N42*M42</f>
        <v>89481</v>
      </c>
      <c r="R42" s="33">
        <v>4.5599999999999996</v>
      </c>
      <c r="S42" s="33">
        <v>1</v>
      </c>
      <c r="T42" s="40">
        <f t="shared" si="7"/>
        <v>1.9242297247460509E-2</v>
      </c>
      <c r="U42" s="39">
        <v>1721</v>
      </c>
      <c r="V42" s="41">
        <v>1721</v>
      </c>
    </row>
    <row r="43" spans="1:22" x14ac:dyDescent="0.25">
      <c r="A43" s="33">
        <v>38</v>
      </c>
      <c r="B43" s="34">
        <v>46286</v>
      </c>
      <c r="C43" s="34">
        <v>46301</v>
      </c>
      <c r="D43" s="35">
        <f t="shared" si="5"/>
        <v>15</v>
      </c>
      <c r="E43" s="33" t="s">
        <v>590</v>
      </c>
      <c r="F43" s="33" t="s">
        <v>725</v>
      </c>
      <c r="G43" s="36" t="s">
        <v>591</v>
      </c>
      <c r="H43" s="33" t="s">
        <v>22</v>
      </c>
      <c r="I43" s="36" t="s">
        <v>655</v>
      </c>
      <c r="J43" s="33" t="s">
        <v>23</v>
      </c>
      <c r="K43" s="33" t="s">
        <v>23</v>
      </c>
      <c r="L43" s="33" t="s">
        <v>590</v>
      </c>
      <c r="M43" s="33">
        <v>-700</v>
      </c>
      <c r="N43" s="33">
        <v>162.33920000000001</v>
      </c>
      <c r="O43" s="33">
        <v>166.36</v>
      </c>
      <c r="P43" s="33">
        <v>166.36</v>
      </c>
      <c r="Q43" s="39">
        <f>ABS(P43*M43)</f>
        <v>116452.00000000001</v>
      </c>
      <c r="R43" s="33">
        <v>11.47</v>
      </c>
      <c r="S43" s="33">
        <v>0</v>
      </c>
      <c r="T43" s="40">
        <f t="shared" si="7"/>
        <v>0</v>
      </c>
      <c r="U43" s="39">
        <v>-2814</v>
      </c>
      <c r="V43" s="45">
        <v>-2814</v>
      </c>
    </row>
    <row r="44" spans="1:22" x14ac:dyDescent="0.25">
      <c r="A44" s="33">
        <v>39</v>
      </c>
      <c r="B44" s="34">
        <v>46286</v>
      </c>
      <c r="C44" s="34">
        <v>46288</v>
      </c>
      <c r="D44" s="35">
        <f t="shared" si="5"/>
        <v>2</v>
      </c>
      <c r="E44" s="33" t="s">
        <v>592</v>
      </c>
      <c r="F44" s="33" t="s">
        <v>726</v>
      </c>
      <c r="G44" s="36" t="s">
        <v>593</v>
      </c>
      <c r="H44" s="33" t="s">
        <v>22</v>
      </c>
      <c r="I44" s="36" t="s">
        <v>654</v>
      </c>
      <c r="J44" s="33" t="s">
        <v>23</v>
      </c>
      <c r="K44" s="33" t="s">
        <v>23</v>
      </c>
      <c r="L44" s="33" t="s">
        <v>592</v>
      </c>
      <c r="M44" s="33">
        <v>400</v>
      </c>
      <c r="N44" s="33">
        <v>310.77999999999997</v>
      </c>
      <c r="O44" s="33">
        <v>313.61399999999998</v>
      </c>
      <c r="P44" s="33">
        <v>313.61399999999998</v>
      </c>
      <c r="Q44" s="39">
        <f>ABS(N44*M44)</f>
        <v>124311.99999999999</v>
      </c>
      <c r="R44" s="33">
        <v>6.5</v>
      </c>
      <c r="S44" s="33">
        <v>1</v>
      </c>
      <c r="T44" s="40">
        <f t="shared" si="7"/>
        <v>9.1189909260570284E-3</v>
      </c>
      <c r="U44" s="39">
        <v>1134</v>
      </c>
      <c r="V44" s="41">
        <v>1134</v>
      </c>
    </row>
    <row r="45" spans="1:22" x14ac:dyDescent="0.25">
      <c r="A45" s="33">
        <v>40</v>
      </c>
      <c r="B45" s="34">
        <v>46286</v>
      </c>
      <c r="C45" s="34">
        <v>46286</v>
      </c>
      <c r="D45" s="35">
        <f t="shared" si="5"/>
        <v>0</v>
      </c>
      <c r="E45" s="33" t="s">
        <v>72</v>
      </c>
      <c r="F45" s="33" t="s">
        <v>708</v>
      </c>
      <c r="G45" s="36" t="s">
        <v>594</v>
      </c>
      <c r="H45" s="33" t="s">
        <v>22</v>
      </c>
      <c r="I45" s="36" t="s">
        <v>653</v>
      </c>
      <c r="J45" s="33" t="s">
        <v>29</v>
      </c>
      <c r="K45" s="33" t="s">
        <v>525</v>
      </c>
      <c r="L45" s="33" t="s">
        <v>72</v>
      </c>
      <c r="M45" s="33">
        <v>-4</v>
      </c>
      <c r="N45" s="33">
        <v>7840.75</v>
      </c>
      <c r="O45" s="33">
        <v>7835.5</v>
      </c>
      <c r="P45" s="33">
        <v>7835.5</v>
      </c>
      <c r="Q45" s="39">
        <v>156718</v>
      </c>
      <c r="R45" s="33">
        <v>4.88</v>
      </c>
      <c r="S45" s="33">
        <v>1</v>
      </c>
      <c r="T45" s="40">
        <f t="shared" ref="T45:T48" si="8">IF(S45=1, ABS(O45-N45)/N45, 0)</f>
        <v>6.6957880304817775E-4</v>
      </c>
      <c r="U45" s="39">
        <v>108</v>
      </c>
      <c r="V45" s="41">
        <v>108</v>
      </c>
    </row>
    <row r="46" spans="1:22" x14ac:dyDescent="0.25">
      <c r="A46" s="33">
        <v>41</v>
      </c>
      <c r="B46" s="34">
        <v>46287</v>
      </c>
      <c r="C46" s="34">
        <v>46288</v>
      </c>
      <c r="D46" s="35">
        <f t="shared" si="5"/>
        <v>1</v>
      </c>
      <c r="E46" s="33" t="s">
        <v>595</v>
      </c>
      <c r="F46" s="33" t="s">
        <v>727</v>
      </c>
      <c r="G46" s="36" t="s">
        <v>596</v>
      </c>
      <c r="H46" s="33" t="s">
        <v>22</v>
      </c>
      <c r="I46" s="36" t="s">
        <v>652</v>
      </c>
      <c r="J46" s="33" t="s">
        <v>23</v>
      </c>
      <c r="K46" s="33" t="s">
        <v>23</v>
      </c>
      <c r="L46" s="33" t="s">
        <v>595</v>
      </c>
      <c r="M46" s="33">
        <v>2000</v>
      </c>
      <c r="N46" s="33">
        <v>18.71</v>
      </c>
      <c r="O46" s="33">
        <v>18.376999999999999</v>
      </c>
      <c r="P46" s="33">
        <v>18.376999999999999</v>
      </c>
      <c r="Q46" s="39">
        <f>ABS(N46*M46)</f>
        <v>37420</v>
      </c>
      <c r="R46" s="33">
        <v>22.69</v>
      </c>
      <c r="S46" s="33">
        <v>0</v>
      </c>
      <c r="T46" s="40">
        <f t="shared" si="8"/>
        <v>0</v>
      </c>
      <c r="U46" s="39">
        <v>-664</v>
      </c>
      <c r="V46" s="45">
        <v>-664</v>
      </c>
    </row>
    <row r="47" spans="1:22" x14ac:dyDescent="0.25">
      <c r="A47" s="33">
        <v>42</v>
      </c>
      <c r="B47" s="34">
        <v>46288</v>
      </c>
      <c r="C47" s="34">
        <v>46303</v>
      </c>
      <c r="D47" s="35">
        <f t="shared" si="5"/>
        <v>15</v>
      </c>
      <c r="E47" s="33" t="s">
        <v>597</v>
      </c>
      <c r="F47" s="33" t="s">
        <v>728</v>
      </c>
      <c r="G47" s="36" t="s">
        <v>598</v>
      </c>
      <c r="H47" s="33" t="s">
        <v>22</v>
      </c>
      <c r="I47" s="36" t="s">
        <v>651</v>
      </c>
      <c r="J47" s="33" t="s">
        <v>23</v>
      </c>
      <c r="K47" s="33" t="s">
        <v>23</v>
      </c>
      <c r="L47" s="33" t="s">
        <v>597</v>
      </c>
      <c r="M47" s="33">
        <v>-600</v>
      </c>
      <c r="N47" s="33">
        <v>268.09100000000001</v>
      </c>
      <c r="O47" s="33">
        <v>262.3</v>
      </c>
      <c r="P47" s="33">
        <v>262.3</v>
      </c>
      <c r="Q47" s="39">
        <f>ABS(P47*M47)</f>
        <v>157380</v>
      </c>
      <c r="R47" s="33">
        <v>10.1</v>
      </c>
      <c r="S47" s="33">
        <v>1</v>
      </c>
      <c r="T47" s="40">
        <f t="shared" si="8"/>
        <v>2.1600874329984955E-2</v>
      </c>
      <c r="U47" s="39">
        <v>3476</v>
      </c>
      <c r="V47" s="41">
        <v>3476</v>
      </c>
    </row>
    <row r="48" spans="1:22" x14ac:dyDescent="0.25">
      <c r="A48" s="33">
        <v>43</v>
      </c>
      <c r="B48" s="34">
        <v>46288</v>
      </c>
      <c r="C48" s="34">
        <v>46296</v>
      </c>
      <c r="D48" s="35">
        <f t="shared" si="5"/>
        <v>8</v>
      </c>
      <c r="E48" s="33" t="s">
        <v>53</v>
      </c>
      <c r="F48" s="33" t="s">
        <v>700</v>
      </c>
      <c r="G48" s="36" t="s">
        <v>632</v>
      </c>
      <c r="H48" s="33" t="s">
        <v>22</v>
      </c>
      <c r="I48" s="36" t="s">
        <v>641</v>
      </c>
      <c r="J48" s="33" t="s">
        <v>29</v>
      </c>
      <c r="K48" s="33" t="s">
        <v>523</v>
      </c>
      <c r="L48" s="33" t="s">
        <v>599</v>
      </c>
      <c r="M48" s="33">
        <v>30</v>
      </c>
      <c r="N48" s="33">
        <v>17.652000000000001</v>
      </c>
      <c r="O48" s="33">
        <v>18.277999999999999</v>
      </c>
      <c r="P48" s="33">
        <v>18.277999999999999</v>
      </c>
      <c r="Q48" s="39">
        <f>ABS(N48*M48)*100</f>
        <v>52956.000000000007</v>
      </c>
      <c r="R48" s="33">
        <v>27.6</v>
      </c>
      <c r="S48" s="33">
        <v>1</v>
      </c>
      <c r="T48" s="40">
        <f t="shared" si="8"/>
        <v>3.5463403580330705E-2</v>
      </c>
      <c r="U48" s="39">
        <v>1895</v>
      </c>
      <c r="V48" s="41">
        <v>1895</v>
      </c>
    </row>
    <row r="49" spans="1:23" x14ac:dyDescent="0.25">
      <c r="A49" s="33">
        <v>44</v>
      </c>
      <c r="B49" s="34">
        <v>46289</v>
      </c>
      <c r="C49" s="34">
        <v>46290</v>
      </c>
      <c r="D49" s="35">
        <f t="shared" si="5"/>
        <v>1</v>
      </c>
      <c r="E49" s="33" t="s">
        <v>600</v>
      </c>
      <c r="F49" s="33" t="s">
        <v>729</v>
      </c>
      <c r="G49" s="36" t="s">
        <v>601</v>
      </c>
      <c r="H49" s="33" t="s">
        <v>22</v>
      </c>
      <c r="I49" s="36" t="s">
        <v>650</v>
      </c>
      <c r="J49" s="33" t="s">
        <v>29</v>
      </c>
      <c r="K49" s="33" t="s">
        <v>116</v>
      </c>
      <c r="L49" s="33" t="s">
        <v>602</v>
      </c>
      <c r="M49" s="33">
        <v>-2</v>
      </c>
      <c r="N49" s="33">
        <v>3.327</v>
      </c>
      <c r="O49" s="33">
        <v>3.26</v>
      </c>
      <c r="P49" s="33">
        <v>3.26</v>
      </c>
      <c r="Q49" s="39">
        <v>16220</v>
      </c>
      <c r="R49" s="33">
        <v>5.44</v>
      </c>
      <c r="S49" s="33">
        <v>1</v>
      </c>
      <c r="T49" s="40">
        <f t="shared" ref="T49:T52" si="9">IF(S49=1, ABS(O49-N49)/N49, 0)</f>
        <v>2.0138262699128395E-2</v>
      </c>
      <c r="U49" s="39">
        <v>338</v>
      </c>
      <c r="V49" s="41">
        <v>338</v>
      </c>
    </row>
    <row r="50" spans="1:23" x14ac:dyDescent="0.25">
      <c r="A50" s="33">
        <v>45</v>
      </c>
      <c r="B50" s="34">
        <v>46290</v>
      </c>
      <c r="C50" s="34">
        <v>46290</v>
      </c>
      <c r="D50" s="35">
        <f t="shared" si="5"/>
        <v>0</v>
      </c>
      <c r="E50" s="33" t="s">
        <v>604</v>
      </c>
      <c r="F50" s="33" t="s">
        <v>730</v>
      </c>
      <c r="G50" s="36" t="s">
        <v>605</v>
      </c>
      <c r="H50" s="33" t="s">
        <v>22</v>
      </c>
      <c r="I50" s="36" t="s">
        <v>649</v>
      </c>
      <c r="J50" s="33" t="s">
        <v>23</v>
      </c>
      <c r="K50" s="33" t="s">
        <v>23</v>
      </c>
      <c r="L50" s="33" t="s">
        <v>604</v>
      </c>
      <c r="M50" s="33">
        <v>-750</v>
      </c>
      <c r="N50" s="33">
        <v>274.52</v>
      </c>
      <c r="O50" s="33">
        <v>271.52999999999997</v>
      </c>
      <c r="P50" s="33">
        <v>271.52999999999997</v>
      </c>
      <c r="Q50" s="39">
        <v>205889</v>
      </c>
      <c r="R50" s="33">
        <v>10.91</v>
      </c>
      <c r="S50" s="33">
        <v>1</v>
      </c>
      <c r="T50" s="40">
        <f t="shared" si="9"/>
        <v>1.0891738306862922E-2</v>
      </c>
      <c r="U50" s="39">
        <v>2245</v>
      </c>
      <c r="V50" s="41">
        <v>2245</v>
      </c>
    </row>
    <row r="51" spans="1:23" x14ac:dyDescent="0.25">
      <c r="A51" s="33">
        <v>46</v>
      </c>
      <c r="B51" s="34">
        <v>46293</v>
      </c>
      <c r="C51" s="34">
        <v>46296</v>
      </c>
      <c r="D51" s="35">
        <f t="shared" si="5"/>
        <v>3</v>
      </c>
      <c r="E51" s="33" t="s">
        <v>606</v>
      </c>
      <c r="F51" s="33" t="s">
        <v>731</v>
      </c>
      <c r="G51" s="36" t="s">
        <v>607</v>
      </c>
      <c r="H51" s="33" t="s">
        <v>22</v>
      </c>
      <c r="I51" s="36" t="s">
        <v>648</v>
      </c>
      <c r="J51" s="33" t="s">
        <v>23</v>
      </c>
      <c r="K51" s="33" t="s">
        <v>23</v>
      </c>
      <c r="L51" s="33" t="s">
        <v>606</v>
      </c>
      <c r="M51" s="33">
        <v>700</v>
      </c>
      <c r="N51" s="33">
        <v>84.41</v>
      </c>
      <c r="O51" s="33">
        <v>82.27</v>
      </c>
      <c r="P51" s="33">
        <v>82.27</v>
      </c>
      <c r="Q51" s="39">
        <f t="shared" ref="Q51:Q58" si="10">ABS(N51*M51)</f>
        <v>59087</v>
      </c>
      <c r="R51" s="33">
        <v>9.65</v>
      </c>
      <c r="S51" s="33">
        <v>0</v>
      </c>
      <c r="T51" s="40">
        <f t="shared" si="9"/>
        <v>0</v>
      </c>
      <c r="U51" s="39">
        <v>-1498</v>
      </c>
      <c r="V51" s="45">
        <v>-1498</v>
      </c>
    </row>
    <row r="52" spans="1:23" x14ac:dyDescent="0.25">
      <c r="A52" s="33">
        <v>47</v>
      </c>
      <c r="B52" s="34">
        <v>46293</v>
      </c>
      <c r="C52" s="34">
        <v>46297</v>
      </c>
      <c r="D52" s="35">
        <f t="shared" si="5"/>
        <v>4</v>
      </c>
      <c r="E52" s="33" t="s">
        <v>608</v>
      </c>
      <c r="F52" s="33" t="s">
        <v>732</v>
      </c>
      <c r="G52" s="36" t="s">
        <v>609</v>
      </c>
      <c r="H52" s="33" t="s">
        <v>22</v>
      </c>
      <c r="I52" s="36" t="s">
        <v>647</v>
      </c>
      <c r="J52" s="33" t="s">
        <v>23</v>
      </c>
      <c r="K52" s="33" t="s">
        <v>23</v>
      </c>
      <c r="L52" s="33" t="s">
        <v>608</v>
      </c>
      <c r="M52" s="33">
        <v>-110</v>
      </c>
      <c r="N52" s="33">
        <v>447.99</v>
      </c>
      <c r="O52" s="33">
        <v>466.29</v>
      </c>
      <c r="P52" s="33">
        <v>466.29</v>
      </c>
      <c r="Q52" s="39">
        <f t="shared" si="10"/>
        <v>49278.9</v>
      </c>
      <c r="R52" s="33">
        <v>2.68</v>
      </c>
      <c r="S52" s="33">
        <v>0</v>
      </c>
      <c r="T52" s="40">
        <f t="shared" si="9"/>
        <v>0</v>
      </c>
      <c r="U52" s="39">
        <v>-2013</v>
      </c>
      <c r="V52" s="45">
        <v>-2013</v>
      </c>
    </row>
    <row r="53" spans="1:23" x14ac:dyDescent="0.25">
      <c r="A53" s="33">
        <v>48</v>
      </c>
      <c r="B53" s="34">
        <v>46293</v>
      </c>
      <c r="C53" s="34">
        <v>46295</v>
      </c>
      <c r="D53" s="35">
        <f t="shared" si="5"/>
        <v>2</v>
      </c>
      <c r="E53" s="33" t="s">
        <v>610</v>
      </c>
      <c r="F53" s="33" t="s">
        <v>733</v>
      </c>
      <c r="G53" s="36" t="s">
        <v>611</v>
      </c>
      <c r="H53" s="33" t="s">
        <v>22</v>
      </c>
      <c r="I53" s="36" t="s">
        <v>646</v>
      </c>
      <c r="J53" s="33" t="s">
        <v>23</v>
      </c>
      <c r="K53" s="33" t="s">
        <v>23</v>
      </c>
      <c r="L53" s="33" t="s">
        <v>610</v>
      </c>
      <c r="M53" s="33">
        <v>4000</v>
      </c>
      <c r="N53" s="33">
        <v>20.27</v>
      </c>
      <c r="O53" s="33">
        <v>20.21</v>
      </c>
      <c r="P53" s="33">
        <v>20.21</v>
      </c>
      <c r="Q53" s="39">
        <f t="shared" si="10"/>
        <v>81080</v>
      </c>
      <c r="R53" s="33">
        <v>5.4</v>
      </c>
      <c r="S53" s="33">
        <v>0</v>
      </c>
      <c r="T53" s="40">
        <f t="shared" ref="T53:T55" si="11">IF(S53=1, ABS(O53-N53)/N53, 0)</f>
        <v>0</v>
      </c>
      <c r="U53" s="39">
        <v>-214</v>
      </c>
      <c r="V53" s="45">
        <v>-214</v>
      </c>
    </row>
    <row r="54" spans="1:23" x14ac:dyDescent="0.25">
      <c r="A54" s="33">
        <v>49</v>
      </c>
      <c r="B54" s="34">
        <v>46294</v>
      </c>
      <c r="C54" s="34">
        <v>46301</v>
      </c>
      <c r="D54" s="35">
        <f t="shared" si="5"/>
        <v>7</v>
      </c>
      <c r="E54" s="33" t="s">
        <v>612</v>
      </c>
      <c r="F54" s="33" t="s">
        <v>734</v>
      </c>
      <c r="G54" s="36" t="s">
        <v>613</v>
      </c>
      <c r="H54" s="33" t="s">
        <v>28</v>
      </c>
      <c r="I54" s="36" t="s">
        <v>645</v>
      </c>
      <c r="J54" s="33" t="s">
        <v>43</v>
      </c>
      <c r="K54" s="33" t="s">
        <v>43</v>
      </c>
      <c r="L54" s="33" t="s">
        <v>612</v>
      </c>
      <c r="M54" s="33">
        <v>400</v>
      </c>
      <c r="N54" s="33">
        <v>281.4135</v>
      </c>
      <c r="O54" s="33">
        <v>282.18</v>
      </c>
      <c r="P54" s="33">
        <v>282.18</v>
      </c>
      <c r="Q54" s="39">
        <f t="shared" si="10"/>
        <v>112565.4</v>
      </c>
      <c r="R54" s="33">
        <v>7.57</v>
      </c>
      <c r="S54" s="33">
        <v>1</v>
      </c>
      <c r="T54" s="40">
        <f t="shared" si="11"/>
        <v>2.7237499267093006E-3</v>
      </c>
      <c r="U54" s="39">
        <v>307</v>
      </c>
      <c r="V54" s="41">
        <v>307</v>
      </c>
    </row>
    <row r="55" spans="1:23" x14ac:dyDescent="0.25">
      <c r="A55" s="33">
        <v>49</v>
      </c>
      <c r="B55" s="34">
        <v>46294</v>
      </c>
      <c r="C55" s="34">
        <v>46301</v>
      </c>
      <c r="D55" s="35">
        <f t="shared" si="5"/>
        <v>7</v>
      </c>
      <c r="E55" s="33" t="s">
        <v>614</v>
      </c>
      <c r="F55" s="33" t="s">
        <v>735</v>
      </c>
      <c r="G55" s="36" t="s">
        <v>615</v>
      </c>
      <c r="H55" s="33" t="s">
        <v>28</v>
      </c>
      <c r="I55" s="36" t="s">
        <v>645</v>
      </c>
      <c r="J55" s="33" t="s">
        <v>43</v>
      </c>
      <c r="K55" s="33" t="s">
        <v>43</v>
      </c>
      <c r="L55" s="33" t="s">
        <v>614</v>
      </c>
      <c r="M55" s="33">
        <v>-140</v>
      </c>
      <c r="N55" s="33">
        <v>767.82</v>
      </c>
      <c r="O55" s="33">
        <v>779.63</v>
      </c>
      <c r="P55" s="33">
        <v>779.63</v>
      </c>
      <c r="Q55" s="39">
        <f t="shared" si="10"/>
        <v>107494.8</v>
      </c>
      <c r="R55" s="33">
        <v>4.0199999999999996</v>
      </c>
      <c r="S55" s="33">
        <v>0</v>
      </c>
      <c r="T55" s="40">
        <f t="shared" si="11"/>
        <v>0</v>
      </c>
      <c r="U55" s="39">
        <v>-1653</v>
      </c>
      <c r="V55" s="45">
        <v>-1653</v>
      </c>
    </row>
    <row r="56" spans="1:23" x14ac:dyDescent="0.25">
      <c r="A56" s="33">
        <v>50</v>
      </c>
      <c r="B56" s="34">
        <v>46295</v>
      </c>
      <c r="C56" s="34">
        <v>46296</v>
      </c>
      <c r="D56" s="35">
        <f t="shared" si="5"/>
        <v>1</v>
      </c>
      <c r="E56" s="33" t="s">
        <v>616</v>
      </c>
      <c r="F56" s="33" t="s">
        <v>736</v>
      </c>
      <c r="G56" s="36" t="s">
        <v>617</v>
      </c>
      <c r="H56" s="33" t="s">
        <v>22</v>
      </c>
      <c r="I56" s="36" t="s">
        <v>644</v>
      </c>
      <c r="J56" s="33" t="s">
        <v>23</v>
      </c>
      <c r="K56" s="33" t="s">
        <v>23</v>
      </c>
      <c r="L56" s="33" t="s">
        <v>616</v>
      </c>
      <c r="M56" s="33">
        <v>-100</v>
      </c>
      <c r="N56" s="33">
        <v>447</v>
      </c>
      <c r="O56" s="33">
        <v>434.77</v>
      </c>
      <c r="P56" s="33">
        <v>434.77</v>
      </c>
      <c r="Q56" s="39">
        <f t="shared" si="10"/>
        <v>44700</v>
      </c>
      <c r="R56" s="33">
        <v>1.9</v>
      </c>
      <c r="S56" s="33">
        <v>1</v>
      </c>
      <c r="T56" s="40">
        <f t="shared" ref="T56:T63" si="12">IF(S56=1, ABS(O56-N56)/N56, 0)</f>
        <v>2.7360178970917266E-2</v>
      </c>
      <c r="U56" s="39">
        <v>1222</v>
      </c>
      <c r="V56" s="41">
        <v>1222</v>
      </c>
    </row>
    <row r="57" spans="1:23" x14ac:dyDescent="0.25">
      <c r="A57" s="33">
        <v>51</v>
      </c>
      <c r="B57" s="34">
        <v>46295</v>
      </c>
      <c r="C57" s="34">
        <v>46296</v>
      </c>
      <c r="D57" s="35">
        <f t="shared" si="5"/>
        <v>1</v>
      </c>
      <c r="E57" s="33" t="s">
        <v>618</v>
      </c>
      <c r="F57" s="33" t="s">
        <v>737</v>
      </c>
      <c r="G57" s="36" t="s">
        <v>619</v>
      </c>
      <c r="H57" s="33" t="s">
        <v>22</v>
      </c>
      <c r="I57" s="36" t="s">
        <v>643</v>
      </c>
      <c r="J57" s="33" t="s">
        <v>23</v>
      </c>
      <c r="K57" s="33" t="s">
        <v>23</v>
      </c>
      <c r="L57" s="33" t="s">
        <v>618</v>
      </c>
      <c r="M57" s="33">
        <v>-100</v>
      </c>
      <c r="N57" s="33">
        <v>674.15</v>
      </c>
      <c r="O57" s="33">
        <v>666.83</v>
      </c>
      <c r="P57" s="33">
        <v>666.83</v>
      </c>
      <c r="Q57" s="39">
        <f t="shared" si="10"/>
        <v>67415</v>
      </c>
      <c r="R57" s="33">
        <v>3.25</v>
      </c>
      <c r="S57" s="33">
        <v>1</v>
      </c>
      <c r="T57" s="40">
        <f t="shared" si="12"/>
        <v>1.0858117629607559E-2</v>
      </c>
      <c r="U57" s="39">
        <v>880</v>
      </c>
      <c r="V57" s="41">
        <v>880</v>
      </c>
    </row>
    <row r="58" spans="1:23" x14ac:dyDescent="0.25">
      <c r="A58" s="33">
        <v>52</v>
      </c>
      <c r="B58" s="34">
        <v>46296</v>
      </c>
      <c r="C58" s="34">
        <v>46296</v>
      </c>
      <c r="D58" s="35">
        <f t="shared" si="5"/>
        <v>0</v>
      </c>
      <c r="E58" s="33" t="s">
        <v>24</v>
      </c>
      <c r="F58" s="33" t="s">
        <v>690</v>
      </c>
      <c r="G58" s="36" t="s">
        <v>25</v>
      </c>
      <c r="H58" s="33" t="s">
        <v>22</v>
      </c>
      <c r="I58" s="36" t="s">
        <v>642</v>
      </c>
      <c r="J58" s="33" t="s">
        <v>23</v>
      </c>
      <c r="K58" s="33" t="s">
        <v>23</v>
      </c>
      <c r="L58" s="33" t="s">
        <v>24</v>
      </c>
      <c r="M58" s="33">
        <v>200</v>
      </c>
      <c r="N58" s="33">
        <v>326.27999999999997</v>
      </c>
      <c r="O58" s="33">
        <v>332.03</v>
      </c>
      <c r="P58" s="33">
        <v>332.03</v>
      </c>
      <c r="Q58" s="39">
        <f t="shared" si="10"/>
        <v>65255.999999999993</v>
      </c>
      <c r="R58" s="33">
        <v>2.59</v>
      </c>
      <c r="S58" s="33">
        <v>1</v>
      </c>
      <c r="T58" s="40">
        <f t="shared" si="12"/>
        <v>1.762290057619223E-2</v>
      </c>
      <c r="U58" s="39">
        <v>1058</v>
      </c>
      <c r="V58" s="41">
        <v>1058</v>
      </c>
    </row>
    <row r="59" spans="1:23" x14ac:dyDescent="0.25">
      <c r="A59" s="33">
        <v>53</v>
      </c>
      <c r="B59" s="34">
        <v>46297</v>
      </c>
      <c r="C59" s="34">
        <v>46310</v>
      </c>
      <c r="D59" s="35">
        <f t="shared" si="5"/>
        <v>13</v>
      </c>
      <c r="E59" s="33" t="s">
        <v>53</v>
      </c>
      <c r="F59" s="33" t="s">
        <v>700</v>
      </c>
      <c r="G59" s="36" t="s">
        <v>632</v>
      </c>
      <c r="H59" s="33" t="s">
        <v>22</v>
      </c>
      <c r="I59" s="36" t="s">
        <v>641</v>
      </c>
      <c r="J59" s="33" t="s">
        <v>29</v>
      </c>
      <c r="K59" s="33" t="s">
        <v>523</v>
      </c>
      <c r="L59" s="33" t="s">
        <v>599</v>
      </c>
      <c r="M59" s="33">
        <v>15</v>
      </c>
      <c r="N59" s="33">
        <v>17.533999999999999</v>
      </c>
      <c r="O59" s="33">
        <v>17.913</v>
      </c>
      <c r="P59" s="33">
        <v>17.913</v>
      </c>
      <c r="Q59" s="39">
        <v>26870</v>
      </c>
      <c r="R59" s="33">
        <v>6.9</v>
      </c>
      <c r="S59" s="33">
        <v>1</v>
      </c>
      <c r="T59" s="40">
        <f t="shared" si="12"/>
        <v>2.1615147713014791E-2</v>
      </c>
      <c r="U59" s="39">
        <f>(26870-17905-8396)</f>
        <v>569</v>
      </c>
      <c r="V59" s="41">
        <v>569</v>
      </c>
    </row>
    <row r="60" spans="1:23" x14ac:dyDescent="0.25">
      <c r="A60" s="33">
        <v>54</v>
      </c>
      <c r="B60" s="34">
        <v>46299</v>
      </c>
      <c r="C60" s="34">
        <v>46300</v>
      </c>
      <c r="D60" s="35">
        <f t="shared" si="5"/>
        <v>1</v>
      </c>
      <c r="E60" s="33" t="s">
        <v>31</v>
      </c>
      <c r="F60" s="33" t="s">
        <v>692</v>
      </c>
      <c r="G60" s="36" t="s">
        <v>32</v>
      </c>
      <c r="H60" s="33" t="s">
        <v>22</v>
      </c>
      <c r="I60" s="36" t="s">
        <v>640</v>
      </c>
      <c r="J60" s="33" t="s">
        <v>29</v>
      </c>
      <c r="K60" s="33" t="s">
        <v>521</v>
      </c>
      <c r="L60" s="33" t="s">
        <v>620</v>
      </c>
      <c r="M60" s="33">
        <v>10</v>
      </c>
      <c r="N60" s="33">
        <v>1.1225000000000001</v>
      </c>
      <c r="O60" s="33">
        <v>1.1251</v>
      </c>
      <c r="P60" s="33">
        <v>1.1251</v>
      </c>
      <c r="Q60" s="39">
        <f>1406000*1.121</f>
        <v>1576126</v>
      </c>
      <c r="R60" s="33">
        <v>42.5</v>
      </c>
      <c r="S60" s="33">
        <v>1</v>
      </c>
      <c r="T60" s="40">
        <f t="shared" si="12"/>
        <v>2.3162583518930384E-3</v>
      </c>
      <c r="U60" s="39">
        <v>925</v>
      </c>
      <c r="V60" s="41">
        <v>925</v>
      </c>
    </row>
    <row r="61" spans="1:23" x14ac:dyDescent="0.25">
      <c r="A61" s="33">
        <v>55</v>
      </c>
      <c r="B61" s="34">
        <v>46302</v>
      </c>
      <c r="C61" s="34">
        <v>46302</v>
      </c>
      <c r="D61" s="35">
        <f t="shared" si="5"/>
        <v>0</v>
      </c>
      <c r="E61" s="33" t="s">
        <v>31</v>
      </c>
      <c r="F61" s="33" t="s">
        <v>692</v>
      </c>
      <c r="G61" s="36" t="s">
        <v>32</v>
      </c>
      <c r="H61" s="33" t="s">
        <v>22</v>
      </c>
      <c r="I61" s="36" t="s">
        <v>640</v>
      </c>
      <c r="J61" s="33" t="s">
        <v>29</v>
      </c>
      <c r="K61" s="33" t="s">
        <v>521</v>
      </c>
      <c r="L61" s="33" t="s">
        <v>620</v>
      </c>
      <c r="M61" s="33">
        <v>15</v>
      </c>
      <c r="N61" s="33">
        <v>1.1217200000000001</v>
      </c>
      <c r="O61" s="33">
        <v>1.12226</v>
      </c>
      <c r="P61" s="33">
        <v>1.12226</v>
      </c>
      <c r="Q61" s="39">
        <f>M61*125000*1.121</f>
        <v>2101875</v>
      </c>
      <c r="R61" s="33">
        <v>73.8</v>
      </c>
      <c r="S61" s="33">
        <v>1</v>
      </c>
      <c r="T61" s="40">
        <f t="shared" si="12"/>
        <v>4.8140355882036952E-4</v>
      </c>
      <c r="U61" s="39">
        <v>1013</v>
      </c>
      <c r="V61" s="41">
        <v>1013</v>
      </c>
    </row>
    <row r="62" spans="1:23" x14ac:dyDescent="0.25">
      <c r="A62" s="33">
        <v>56</v>
      </c>
      <c r="B62" s="34">
        <v>46303</v>
      </c>
      <c r="C62" s="34">
        <v>46310</v>
      </c>
      <c r="D62" s="35">
        <f t="shared" si="5"/>
        <v>7</v>
      </c>
      <c r="E62" s="33" t="s">
        <v>80</v>
      </c>
      <c r="F62" s="33" t="s">
        <v>697</v>
      </c>
      <c r="G62" s="36" t="s">
        <v>47</v>
      </c>
      <c r="H62" s="33" t="s">
        <v>28</v>
      </c>
      <c r="I62" s="36" t="s">
        <v>639</v>
      </c>
      <c r="J62" s="33" t="s">
        <v>29</v>
      </c>
      <c r="K62" s="33" t="s">
        <v>114</v>
      </c>
      <c r="L62" s="33" t="s">
        <v>81</v>
      </c>
      <c r="M62" s="33">
        <v>5</v>
      </c>
      <c r="N62" s="33">
        <v>4155.68</v>
      </c>
      <c r="O62" s="33">
        <v>4185.5200000000004</v>
      </c>
      <c r="P62" s="33">
        <v>4185.5200000000004</v>
      </c>
      <c r="Q62" s="39">
        <f>M62*P62*10</f>
        <v>209276.00000000003</v>
      </c>
      <c r="R62" s="33">
        <v>9.6</v>
      </c>
      <c r="S62" s="33">
        <v>1</v>
      </c>
      <c r="T62" s="40">
        <f t="shared" si="12"/>
        <v>7.1805336310784623E-3</v>
      </c>
      <c r="U62" s="39">
        <v>1492</v>
      </c>
      <c r="V62" s="41">
        <v>1492</v>
      </c>
    </row>
    <row r="63" spans="1:23" x14ac:dyDescent="0.25">
      <c r="A63" s="33">
        <v>56</v>
      </c>
      <c r="B63" s="34">
        <v>46303</v>
      </c>
      <c r="C63" s="34">
        <v>46310</v>
      </c>
      <c r="D63" s="35">
        <f t="shared" ref="D63:D66" si="13">C63-B63</f>
        <v>7</v>
      </c>
      <c r="E63" s="33" t="s">
        <v>621</v>
      </c>
      <c r="F63" s="33" t="s">
        <v>738</v>
      </c>
      <c r="G63" s="36" t="s">
        <v>622</v>
      </c>
      <c r="H63" s="33" t="s">
        <v>28</v>
      </c>
      <c r="I63" s="36" t="s">
        <v>639</v>
      </c>
      <c r="J63" s="33" t="s">
        <v>29</v>
      </c>
      <c r="K63" s="33" t="s">
        <v>114</v>
      </c>
      <c r="L63" s="33" t="s">
        <v>623</v>
      </c>
      <c r="M63" s="33">
        <v>-14</v>
      </c>
      <c r="N63" s="33">
        <v>6.6361999999999997</v>
      </c>
      <c r="O63" s="33">
        <v>6.5984999999999996</v>
      </c>
      <c r="P63" s="33">
        <v>6.5984999999999996</v>
      </c>
      <c r="Q63" s="39">
        <v>232267</v>
      </c>
      <c r="R63" s="33">
        <v>26.88</v>
      </c>
      <c r="S63" s="33">
        <v>1</v>
      </c>
      <c r="T63" s="40">
        <f t="shared" si="12"/>
        <v>5.6809619963232071E-3</v>
      </c>
      <c r="U63" s="39">
        <v>1318</v>
      </c>
      <c r="V63" s="41">
        <v>1318</v>
      </c>
    </row>
    <row r="64" spans="1:23" x14ac:dyDescent="0.25">
      <c r="A64" s="33">
        <v>57</v>
      </c>
      <c r="B64" s="34">
        <v>46310</v>
      </c>
      <c r="C64" s="54">
        <v>46311</v>
      </c>
      <c r="D64" s="55">
        <f t="shared" si="13"/>
        <v>1</v>
      </c>
      <c r="E64" s="47" t="s">
        <v>624</v>
      </c>
      <c r="F64" s="47" t="s">
        <v>739</v>
      </c>
      <c r="G64" s="48" t="s">
        <v>625</v>
      </c>
      <c r="H64" s="47" t="s">
        <v>22</v>
      </c>
      <c r="I64" s="48" t="s">
        <v>638</v>
      </c>
      <c r="J64" s="47" t="s">
        <v>23</v>
      </c>
      <c r="K64" s="47" t="s">
        <v>23</v>
      </c>
      <c r="L64" s="47" t="s">
        <v>624</v>
      </c>
      <c r="M64" s="47">
        <v>1220</v>
      </c>
      <c r="N64" s="47">
        <v>7.74</v>
      </c>
      <c r="O64" s="47" t="s">
        <v>66</v>
      </c>
      <c r="P64" s="47">
        <v>7.91</v>
      </c>
      <c r="Q64" s="49">
        <v>4984</v>
      </c>
      <c r="R64" s="47">
        <v>1.01</v>
      </c>
      <c r="S64" s="47" t="s">
        <v>66</v>
      </c>
      <c r="T64" s="47" t="s">
        <v>66</v>
      </c>
      <c r="U64" s="47" t="s">
        <v>66</v>
      </c>
      <c r="V64" s="47" t="s">
        <v>66</v>
      </c>
      <c r="W64" s="33">
        <v>243</v>
      </c>
    </row>
    <row r="65" spans="1:25" x14ac:dyDescent="0.25">
      <c r="A65" s="33">
        <v>58</v>
      </c>
      <c r="B65" s="34">
        <v>46310</v>
      </c>
      <c r="C65" s="54">
        <v>46311</v>
      </c>
      <c r="D65" s="55">
        <f t="shared" si="13"/>
        <v>1</v>
      </c>
      <c r="E65" s="47" t="s">
        <v>626</v>
      </c>
      <c r="F65" s="47" t="s">
        <v>740</v>
      </c>
      <c r="G65" s="48" t="s">
        <v>627</v>
      </c>
      <c r="H65" s="47" t="s">
        <v>22</v>
      </c>
      <c r="I65" s="48" t="s">
        <v>637</v>
      </c>
      <c r="J65" s="47" t="s">
        <v>23</v>
      </c>
      <c r="K65" s="47" t="s">
        <v>23</v>
      </c>
      <c r="L65" s="47" t="s">
        <v>626</v>
      </c>
      <c r="M65" s="47">
        <v>-504</v>
      </c>
      <c r="N65" s="47">
        <v>28.216999999999999</v>
      </c>
      <c r="O65" s="47" t="s">
        <v>66</v>
      </c>
      <c r="P65" s="47">
        <v>28.12</v>
      </c>
      <c r="Q65" s="49">
        <v>14041</v>
      </c>
      <c r="R65" s="47">
        <v>2.33</v>
      </c>
      <c r="S65" s="47" t="s">
        <v>66</v>
      </c>
      <c r="T65" s="47" t="s">
        <v>66</v>
      </c>
      <c r="U65" s="47" t="s">
        <v>66</v>
      </c>
      <c r="V65" s="47" t="s">
        <v>66</v>
      </c>
      <c r="W65" s="33">
        <v>49</v>
      </c>
    </row>
    <row r="66" spans="1:25" x14ac:dyDescent="0.25">
      <c r="A66" s="33">
        <v>59</v>
      </c>
      <c r="B66" s="34">
        <v>46310</v>
      </c>
      <c r="C66" s="54">
        <v>46311</v>
      </c>
      <c r="D66" s="55">
        <f t="shared" si="13"/>
        <v>1</v>
      </c>
      <c r="E66" s="47" t="s">
        <v>628</v>
      </c>
      <c r="F66" s="47" t="s">
        <v>741</v>
      </c>
      <c r="G66" s="48" t="s">
        <v>629</v>
      </c>
      <c r="H66" s="47" t="s">
        <v>22</v>
      </c>
      <c r="I66" s="48" t="s">
        <v>636</v>
      </c>
      <c r="J66" s="47" t="s">
        <v>23</v>
      </c>
      <c r="K66" s="47" t="s">
        <v>23</v>
      </c>
      <c r="L66" s="47" t="s">
        <v>628</v>
      </c>
      <c r="M66" s="47">
        <v>-1956</v>
      </c>
      <c r="N66" s="47">
        <v>46.65</v>
      </c>
      <c r="O66" s="47" t="s">
        <v>66</v>
      </c>
      <c r="P66" s="47">
        <v>46.5</v>
      </c>
      <c r="Q66" s="49">
        <v>90954</v>
      </c>
      <c r="R66" s="47">
        <v>4.32</v>
      </c>
      <c r="S66" s="47" t="s">
        <v>66</v>
      </c>
      <c r="T66" s="47" t="s">
        <v>66</v>
      </c>
      <c r="U66" s="47" t="s">
        <v>66</v>
      </c>
      <c r="V66" s="47" t="s">
        <v>66</v>
      </c>
      <c r="W66" s="33">
        <v>303</v>
      </c>
    </row>
    <row r="67" spans="1:25" x14ac:dyDescent="0.25">
      <c r="A67" s="33">
        <v>60</v>
      </c>
      <c r="B67" s="34">
        <v>46310</v>
      </c>
      <c r="C67" s="54">
        <v>46311</v>
      </c>
      <c r="D67" s="55">
        <f t="shared" ref="D67" si="14">C67-B67</f>
        <v>1</v>
      </c>
      <c r="E67" s="47" t="s">
        <v>630</v>
      </c>
      <c r="F67" s="47" t="s">
        <v>742</v>
      </c>
      <c r="G67" s="48" t="s">
        <v>631</v>
      </c>
      <c r="H67" s="47" t="s">
        <v>22</v>
      </c>
      <c r="I67" s="48" t="s">
        <v>635</v>
      </c>
      <c r="J67" s="47" t="s">
        <v>23</v>
      </c>
      <c r="K67" s="47" t="s">
        <v>23</v>
      </c>
      <c r="L67" s="47" t="s">
        <v>630</v>
      </c>
      <c r="M67" s="47">
        <v>-310</v>
      </c>
      <c r="N67" s="47">
        <v>388.43</v>
      </c>
      <c r="O67" s="47" t="s">
        <v>66</v>
      </c>
      <c r="P67" s="47">
        <v>384.22</v>
      </c>
      <c r="Q67" s="49">
        <v>115266</v>
      </c>
      <c r="R67" s="47">
        <v>3.66</v>
      </c>
      <c r="S67" s="47" t="s">
        <v>66</v>
      </c>
      <c r="T67" s="47" t="s">
        <v>66</v>
      </c>
      <c r="U67" s="47" t="s">
        <v>66</v>
      </c>
      <c r="V67" s="47" t="s">
        <v>66</v>
      </c>
      <c r="W67" s="33">
        <v>1265</v>
      </c>
    </row>
    <row r="68" spans="1:25" x14ac:dyDescent="0.25">
      <c r="B68" s="34"/>
      <c r="C68" s="34"/>
      <c r="D68" s="35"/>
      <c r="G68" s="36"/>
      <c r="I68" s="36"/>
      <c r="Q68" s="39"/>
      <c r="T68" s="40"/>
      <c r="U68" s="39"/>
      <c r="V68" s="41"/>
    </row>
    <row r="69" spans="1:25" x14ac:dyDescent="0.25">
      <c r="G69" s="36"/>
      <c r="I69" s="36"/>
    </row>
    <row r="70" spans="1:25" x14ac:dyDescent="0.25">
      <c r="D70" s="51" t="s">
        <v>94</v>
      </c>
      <c r="E70" s="46">
        <f>AVERAGE(D2:D63)</f>
        <v>6.4838709677419351</v>
      </c>
      <c r="F70" s="46"/>
      <c r="G70" s="36"/>
      <c r="I70" s="36"/>
      <c r="V70" s="39">
        <f>SUM(V2:V68)</f>
        <v>88002.47</v>
      </c>
      <c r="W70" s="39">
        <f>SUM(W2:W68)</f>
        <v>1860</v>
      </c>
      <c r="X70" s="39">
        <f>SUM(X2:X68)</f>
        <v>0</v>
      </c>
      <c r="Y70" s="39"/>
    </row>
    <row r="71" spans="1:25" x14ac:dyDescent="0.25">
      <c r="D71" s="51" t="s">
        <v>95</v>
      </c>
      <c r="E71" s="46">
        <f>AVERAGE(D2:D11,D13,D15:D63)</f>
        <v>4.7666666666666666</v>
      </c>
      <c r="F71" s="46"/>
      <c r="G71" s="36"/>
      <c r="V71" s="52" t="s">
        <v>96</v>
      </c>
      <c r="W71" s="36" t="s">
        <v>97</v>
      </c>
    </row>
    <row r="72" spans="1:25" x14ac:dyDescent="0.25">
      <c r="G72" s="36"/>
      <c r="V72" s="33" t="s">
        <v>98</v>
      </c>
    </row>
    <row r="73" spans="1:25" x14ac:dyDescent="0.25">
      <c r="G73" s="36"/>
      <c r="V73" s="39">
        <f>V70+W70</f>
        <v>89862.47</v>
      </c>
    </row>
    <row r="74" spans="1:25" x14ac:dyDescent="0.25">
      <c r="G74" s="36"/>
    </row>
    <row r="75" spans="1:25" x14ac:dyDescent="0.25">
      <c r="G75" s="36"/>
      <c r="V75" s="36" t="s">
        <v>99</v>
      </c>
    </row>
    <row r="76" spans="1:25" x14ac:dyDescent="0.25">
      <c r="G76" s="36"/>
      <c r="V76" s="39">
        <v>333000</v>
      </c>
    </row>
    <row r="78" spans="1:25" x14ac:dyDescent="0.25">
      <c r="V78" s="33" t="s">
        <v>100</v>
      </c>
    </row>
    <row r="79" spans="1:25" x14ac:dyDescent="0.25">
      <c r="V79" s="53">
        <f>V73/V76</f>
        <v>0.26985726726726728</v>
      </c>
    </row>
  </sheetData>
  <sortState xmlns:xlrd2="http://schemas.microsoft.com/office/spreadsheetml/2017/richdata2" ref="B2:V16">
    <sortCondition ref="B2:B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F7184-1B22-B24C-9622-F17CF8130416}">
  <dimension ref="A1:I93"/>
  <sheetViews>
    <sheetView topLeftCell="A73" zoomScale="200" zoomScaleNormal="200" workbookViewId="0">
      <selection activeCell="G80" sqref="G80"/>
    </sheetView>
  </sheetViews>
  <sheetFormatPr baseColWidth="10" defaultColWidth="11.5" defaultRowHeight="15" x14ac:dyDescent="0.2"/>
  <cols>
    <col min="1" max="1" width="10.1640625" style="24" bestFit="1" customWidth="1"/>
    <col min="2" max="2" width="13.6640625" style="5" customWidth="1"/>
    <col min="3" max="3" width="7.1640625" style="22" bestFit="1" customWidth="1"/>
    <col min="4" max="4" width="7.1640625" style="23" bestFit="1" customWidth="1"/>
    <col min="5" max="6" width="11.5" style="24"/>
    <col min="7" max="7" width="15.33203125" style="24" bestFit="1" customWidth="1"/>
    <col min="8" max="8" width="8" style="24" bestFit="1" customWidth="1"/>
    <col min="9" max="16384" width="11.5" style="24"/>
  </cols>
  <sheetData>
    <row r="1" spans="1:7" x14ac:dyDescent="0.2">
      <c r="A1" s="22" t="s">
        <v>101</v>
      </c>
      <c r="B1" s="5" t="s">
        <v>102</v>
      </c>
      <c r="C1" s="22" t="s">
        <v>103</v>
      </c>
      <c r="D1" s="23" t="s">
        <v>104</v>
      </c>
      <c r="G1" s="25"/>
    </row>
    <row r="2" spans="1:7" x14ac:dyDescent="0.2">
      <c r="A2" s="26">
        <v>46184</v>
      </c>
      <c r="B2" s="5">
        <v>333455.63</v>
      </c>
      <c r="C2" s="22">
        <v>0</v>
      </c>
      <c r="D2" s="23">
        <v>0</v>
      </c>
    </row>
    <row r="3" spans="1:7" x14ac:dyDescent="0.2">
      <c r="A3" s="26">
        <v>46185</v>
      </c>
      <c r="B3" s="5">
        <v>350216.98</v>
      </c>
      <c r="C3" s="5">
        <f>B3-B2</f>
        <v>16761.349999999977</v>
      </c>
      <c r="D3" s="23">
        <f>C3/B2</f>
        <v>5.0265608051062075E-2</v>
      </c>
    </row>
    <row r="4" spans="1:7" x14ac:dyDescent="0.2">
      <c r="A4" s="26">
        <v>46188</v>
      </c>
      <c r="B4" s="5">
        <v>356930.64</v>
      </c>
      <c r="C4" s="5">
        <f t="shared" ref="C4:C93" si="0">B4-B3</f>
        <v>6713.6600000000326</v>
      </c>
      <c r="D4" s="23">
        <f t="shared" ref="D4:D93" si="1">C4/B3</f>
        <v>1.9170001408840977E-2</v>
      </c>
    </row>
    <row r="5" spans="1:7" x14ac:dyDescent="0.2">
      <c r="A5" s="26">
        <v>46189</v>
      </c>
      <c r="B5" s="5">
        <v>351815.49</v>
      </c>
      <c r="C5" s="5">
        <f t="shared" si="0"/>
        <v>-5115.1500000000233</v>
      </c>
      <c r="D5" s="23">
        <f t="shared" si="1"/>
        <v>-1.4330935556555255E-2</v>
      </c>
    </row>
    <row r="6" spans="1:7" x14ac:dyDescent="0.2">
      <c r="A6" s="26">
        <v>46190</v>
      </c>
      <c r="B6" s="5">
        <v>358486.01</v>
      </c>
      <c r="C6" s="5">
        <f t="shared" si="0"/>
        <v>6670.5200000000186</v>
      </c>
      <c r="D6" s="23">
        <f t="shared" si="1"/>
        <v>1.8960279435109632E-2</v>
      </c>
    </row>
    <row r="7" spans="1:7" x14ac:dyDescent="0.2">
      <c r="A7" s="26">
        <v>46191</v>
      </c>
      <c r="B7" s="5">
        <v>360758.08</v>
      </c>
      <c r="C7" s="5">
        <f t="shared" si="0"/>
        <v>2272.070000000007</v>
      </c>
      <c r="D7" s="23">
        <f t="shared" si="1"/>
        <v>6.3379600224845786E-3</v>
      </c>
    </row>
    <row r="8" spans="1:7" x14ac:dyDescent="0.2">
      <c r="A8" s="26">
        <v>46192</v>
      </c>
      <c r="B8" s="5">
        <v>360243.39</v>
      </c>
      <c r="C8" s="5">
        <f t="shared" si="0"/>
        <v>-514.69000000000233</v>
      </c>
      <c r="D8" s="23">
        <f t="shared" si="1"/>
        <v>-1.4266901520265389E-3</v>
      </c>
    </row>
    <row r="9" spans="1:7" x14ac:dyDescent="0.2">
      <c r="A9" s="26">
        <v>46195</v>
      </c>
      <c r="B9" s="5">
        <v>351346.76</v>
      </c>
      <c r="C9" s="5">
        <f t="shared" si="0"/>
        <v>-8896.6300000000047</v>
      </c>
      <c r="D9" s="23">
        <f t="shared" si="1"/>
        <v>-2.4696164445931968E-2</v>
      </c>
      <c r="G9" s="25"/>
    </row>
    <row r="10" spans="1:7" x14ac:dyDescent="0.2">
      <c r="A10" s="26">
        <v>46196</v>
      </c>
      <c r="B10" s="5">
        <v>352224.24</v>
      </c>
      <c r="C10" s="5">
        <f t="shared" si="0"/>
        <v>877.47999999998137</v>
      </c>
      <c r="D10" s="23">
        <f t="shared" si="1"/>
        <v>2.4974757131671892E-3</v>
      </c>
      <c r="G10" s="25"/>
    </row>
    <row r="11" spans="1:7" x14ac:dyDescent="0.2">
      <c r="A11" s="26">
        <v>46197</v>
      </c>
      <c r="B11" s="5">
        <v>347929.11</v>
      </c>
      <c r="C11" s="5">
        <f t="shared" si="0"/>
        <v>-4295.1300000000047</v>
      </c>
      <c r="D11" s="23">
        <f t="shared" si="1"/>
        <v>-1.219430553672287E-2</v>
      </c>
      <c r="G11" s="25"/>
    </row>
    <row r="12" spans="1:7" x14ac:dyDescent="0.2">
      <c r="A12" s="26">
        <v>46198</v>
      </c>
      <c r="B12" s="5">
        <v>349277.46</v>
      </c>
      <c r="C12" s="5">
        <f t="shared" si="0"/>
        <v>1348.3500000000349</v>
      </c>
      <c r="D12" s="23">
        <f t="shared" si="1"/>
        <v>3.8753584027505917E-3</v>
      </c>
      <c r="G12" s="25"/>
    </row>
    <row r="13" spans="1:7" x14ac:dyDescent="0.2">
      <c r="A13" s="26">
        <v>46199</v>
      </c>
      <c r="B13" s="5">
        <v>351579.06</v>
      </c>
      <c r="C13" s="5">
        <f t="shared" si="0"/>
        <v>2301.5999999999767</v>
      </c>
      <c r="D13" s="23">
        <f t="shared" si="1"/>
        <v>6.5896035776255831E-3</v>
      </c>
      <c r="G13" s="25"/>
    </row>
    <row r="14" spans="1:7" x14ac:dyDescent="0.2">
      <c r="A14" s="26">
        <v>46202</v>
      </c>
      <c r="B14" s="5">
        <v>359661.12</v>
      </c>
      <c r="C14" s="5">
        <f t="shared" si="0"/>
        <v>8082.0599999999977</v>
      </c>
      <c r="D14" s="23">
        <f t="shared" si="1"/>
        <v>2.2987887845197601E-2</v>
      </c>
      <c r="G14" s="25"/>
    </row>
    <row r="15" spans="1:7" x14ac:dyDescent="0.2">
      <c r="A15" s="26">
        <v>46203</v>
      </c>
      <c r="B15" s="5">
        <v>361447.55</v>
      </c>
      <c r="C15" s="5">
        <f t="shared" si="0"/>
        <v>1786.429999999993</v>
      </c>
      <c r="D15" s="23">
        <f t="shared" si="1"/>
        <v>4.9669811404690978E-3</v>
      </c>
      <c r="G15" s="25"/>
    </row>
    <row r="16" spans="1:7" x14ac:dyDescent="0.2">
      <c r="A16" s="26">
        <v>46204</v>
      </c>
      <c r="B16" s="5">
        <v>363377.97</v>
      </c>
      <c r="C16" s="5">
        <f t="shared" si="0"/>
        <v>1930.4199999999837</v>
      </c>
      <c r="D16" s="23">
        <f t="shared" si="1"/>
        <v>5.3408025590434456E-3</v>
      </c>
      <c r="G16" s="25"/>
    </row>
    <row r="17" spans="1:7" x14ac:dyDescent="0.2">
      <c r="A17" s="26">
        <v>46205</v>
      </c>
      <c r="B17" s="5">
        <v>374651</v>
      </c>
      <c r="C17" s="5">
        <f t="shared" si="0"/>
        <v>11273.030000000028</v>
      </c>
      <c r="D17" s="23">
        <f t="shared" si="1"/>
        <v>3.1022876813363312E-2</v>
      </c>
      <c r="G17" s="25"/>
    </row>
    <row r="18" spans="1:7" x14ac:dyDescent="0.2">
      <c r="A18" s="26">
        <v>46206</v>
      </c>
      <c r="B18" s="5">
        <v>374479.39</v>
      </c>
      <c r="C18" s="5">
        <f t="shared" si="0"/>
        <v>-171.60999999998603</v>
      </c>
      <c r="D18" s="23">
        <f t="shared" si="1"/>
        <v>-4.5805296128926929E-4</v>
      </c>
    </row>
    <row r="19" spans="1:7" x14ac:dyDescent="0.2">
      <c r="A19" s="26">
        <v>46209</v>
      </c>
      <c r="B19" s="5">
        <v>372801.92</v>
      </c>
      <c r="C19" s="5">
        <f t="shared" si="0"/>
        <v>-1677.4700000000303</v>
      </c>
      <c r="D19" s="23">
        <f t="shared" si="1"/>
        <v>-4.4794721546625839E-3</v>
      </c>
    </row>
    <row r="20" spans="1:7" x14ac:dyDescent="0.2">
      <c r="A20" s="26">
        <v>46210</v>
      </c>
      <c r="B20" s="5">
        <v>375246.11</v>
      </c>
      <c r="C20" s="5">
        <f t="shared" si="0"/>
        <v>2444.1900000000023</v>
      </c>
      <c r="D20" s="23">
        <f t="shared" si="1"/>
        <v>6.5562698818718594E-3</v>
      </c>
    </row>
    <row r="21" spans="1:7" x14ac:dyDescent="0.2">
      <c r="A21" s="26">
        <v>46211</v>
      </c>
      <c r="B21" s="5">
        <v>377280.97</v>
      </c>
      <c r="C21" s="5">
        <f t="shared" si="0"/>
        <v>2034.859999999986</v>
      </c>
      <c r="D21" s="23">
        <f t="shared" si="1"/>
        <v>5.4227344288791859E-3</v>
      </c>
    </row>
    <row r="22" spans="1:7" x14ac:dyDescent="0.2">
      <c r="A22" s="26">
        <v>46212</v>
      </c>
      <c r="B22" s="5">
        <v>374471.51</v>
      </c>
      <c r="C22" s="5">
        <f t="shared" si="0"/>
        <v>-2809.4599999999627</v>
      </c>
      <c r="D22" s="23">
        <f t="shared" si="1"/>
        <v>-7.4465987510580322E-3</v>
      </c>
    </row>
    <row r="23" spans="1:7" x14ac:dyDescent="0.2">
      <c r="A23" s="26">
        <v>46213</v>
      </c>
      <c r="B23" s="5">
        <v>376468.72</v>
      </c>
      <c r="C23" s="5">
        <f t="shared" si="0"/>
        <v>1997.2099999999627</v>
      </c>
      <c r="D23" s="23">
        <f t="shared" si="1"/>
        <v>5.3334097432404474E-3</v>
      </c>
    </row>
    <row r="24" spans="1:7" x14ac:dyDescent="0.2">
      <c r="A24" s="26">
        <v>46216</v>
      </c>
      <c r="B24" s="5">
        <v>379175.63</v>
      </c>
      <c r="C24" s="5">
        <f t="shared" si="0"/>
        <v>2706.9100000000326</v>
      </c>
      <c r="D24" s="23">
        <f t="shared" si="1"/>
        <v>7.190265369191982E-3</v>
      </c>
    </row>
    <row r="25" spans="1:7" x14ac:dyDescent="0.2">
      <c r="A25" s="26">
        <v>46217</v>
      </c>
      <c r="B25" s="5">
        <v>378852.03</v>
      </c>
      <c r="C25" s="5">
        <f t="shared" si="0"/>
        <v>-323.59999999997672</v>
      </c>
      <c r="D25" s="23">
        <f t="shared" si="1"/>
        <v>-8.5343037473156356E-4</v>
      </c>
    </row>
    <row r="26" spans="1:7" x14ac:dyDescent="0.2">
      <c r="A26" s="26">
        <v>46218</v>
      </c>
      <c r="B26" s="5">
        <v>374437.1</v>
      </c>
      <c r="C26" s="5">
        <f t="shared" si="0"/>
        <v>-4414.9300000000512</v>
      </c>
      <c r="D26" s="23">
        <f t="shared" si="1"/>
        <v>-1.1653441582456483E-2</v>
      </c>
    </row>
    <row r="27" spans="1:7" x14ac:dyDescent="0.2">
      <c r="A27" s="26">
        <v>46219</v>
      </c>
      <c r="B27" s="5">
        <v>372248.26</v>
      </c>
      <c r="C27" s="5">
        <f t="shared" si="0"/>
        <v>-2188.8399999999674</v>
      </c>
      <c r="D27" s="23">
        <f t="shared" si="1"/>
        <v>-5.8456814241963934E-3</v>
      </c>
    </row>
    <row r="28" spans="1:7" x14ac:dyDescent="0.2">
      <c r="A28" s="26">
        <v>46220</v>
      </c>
      <c r="B28" s="5">
        <v>376025.4</v>
      </c>
      <c r="C28" s="5">
        <f t="shared" si="0"/>
        <v>3777.140000000014</v>
      </c>
      <c r="D28" s="23">
        <f t="shared" si="1"/>
        <v>1.0146830504996891E-2</v>
      </c>
    </row>
    <row r="29" spans="1:7" x14ac:dyDescent="0.2">
      <c r="A29" s="26">
        <v>46223</v>
      </c>
      <c r="B29" s="5">
        <v>375009.72</v>
      </c>
      <c r="C29" s="5">
        <f t="shared" si="0"/>
        <v>-1015.6800000000512</v>
      </c>
      <c r="D29" s="23">
        <f t="shared" si="1"/>
        <v>-2.7010941282159429E-3</v>
      </c>
    </row>
    <row r="30" spans="1:7" x14ac:dyDescent="0.2">
      <c r="A30" s="26">
        <v>46224</v>
      </c>
      <c r="B30" s="5">
        <v>375731.28</v>
      </c>
      <c r="C30" s="5">
        <f t="shared" si="0"/>
        <v>721.56000000005588</v>
      </c>
      <c r="D30" s="23">
        <f t="shared" si="1"/>
        <v>1.9241101270656557E-3</v>
      </c>
    </row>
    <row r="31" spans="1:7" x14ac:dyDescent="0.2">
      <c r="A31" s="26">
        <v>46225</v>
      </c>
      <c r="B31" s="5">
        <v>378174.99</v>
      </c>
      <c r="C31" s="5">
        <f t="shared" si="0"/>
        <v>2443.7099999999627</v>
      </c>
      <c r="D31" s="23">
        <f t="shared" si="1"/>
        <v>6.5038769196963386E-3</v>
      </c>
    </row>
    <row r="32" spans="1:7" x14ac:dyDescent="0.2">
      <c r="A32" s="26">
        <v>46226</v>
      </c>
      <c r="B32" s="5">
        <v>380362.45</v>
      </c>
      <c r="C32" s="5">
        <f t="shared" si="0"/>
        <v>2187.460000000021</v>
      </c>
      <c r="D32" s="23">
        <f t="shared" si="1"/>
        <v>5.7842534748266169E-3</v>
      </c>
    </row>
    <row r="33" spans="1:4" x14ac:dyDescent="0.2">
      <c r="A33" s="26">
        <v>46227</v>
      </c>
      <c r="B33" s="5">
        <f>B32-1740-1437</f>
        <v>377185.45</v>
      </c>
      <c r="C33" s="5">
        <f t="shared" si="0"/>
        <v>-3177</v>
      </c>
      <c r="D33" s="23">
        <f t="shared" si="1"/>
        <v>-8.3525595126437945E-3</v>
      </c>
    </row>
    <row r="34" spans="1:4" x14ac:dyDescent="0.2">
      <c r="A34" s="26">
        <v>46230</v>
      </c>
      <c r="B34" s="5">
        <f>B33+322+630+1019-936</f>
        <v>378220.45</v>
      </c>
      <c r="C34" s="5">
        <f t="shared" si="0"/>
        <v>1035</v>
      </c>
      <c r="D34" s="23">
        <f t="shared" si="1"/>
        <v>2.7440082855794143E-3</v>
      </c>
    </row>
    <row r="35" spans="1:4" x14ac:dyDescent="0.2">
      <c r="A35" s="26">
        <v>46231</v>
      </c>
      <c r="B35" s="5">
        <f>B34-951+8872.25-771</f>
        <v>385370.7</v>
      </c>
      <c r="C35" s="5">
        <f t="shared" si="0"/>
        <v>7150.25</v>
      </c>
      <c r="D35" s="23">
        <f t="shared" si="1"/>
        <v>1.8904979886730081E-2</v>
      </c>
    </row>
    <row r="36" spans="1:4" x14ac:dyDescent="0.2">
      <c r="A36" s="26">
        <v>46232</v>
      </c>
      <c r="B36" s="5">
        <f>B35+567+1830-7720+5262</f>
        <v>385309.7</v>
      </c>
      <c r="C36" s="5">
        <f t="shared" si="0"/>
        <v>-61</v>
      </c>
      <c r="D36" s="23">
        <f t="shared" si="1"/>
        <v>-1.5828914860418811E-4</v>
      </c>
    </row>
    <row r="37" spans="1:4" x14ac:dyDescent="0.2">
      <c r="A37" s="26">
        <v>46233</v>
      </c>
      <c r="B37" s="5">
        <f>B36+2088+840+8949-5393</f>
        <v>391793.7</v>
      </c>
      <c r="C37" s="5">
        <f t="shared" si="0"/>
        <v>6484</v>
      </c>
      <c r="D37" s="23">
        <f t="shared" si="1"/>
        <v>1.6828021718633089E-2</v>
      </c>
    </row>
    <row r="38" spans="1:4" x14ac:dyDescent="0.2">
      <c r="A38" s="26">
        <v>46234</v>
      </c>
      <c r="B38" s="5">
        <f>B37-480-2572</f>
        <v>388741.7</v>
      </c>
      <c r="C38" s="5">
        <f t="shared" si="0"/>
        <v>-3052</v>
      </c>
      <c r="D38" s="23">
        <f t="shared" si="1"/>
        <v>-7.7898138739852119E-3</v>
      </c>
    </row>
    <row r="39" spans="1:4" x14ac:dyDescent="0.2">
      <c r="A39" s="26">
        <v>46237</v>
      </c>
      <c r="B39" s="5">
        <f>B38-3000-427</f>
        <v>385314.7</v>
      </c>
      <c r="C39" s="5">
        <f t="shared" si="0"/>
        <v>-3427</v>
      </c>
      <c r="D39" s="23">
        <f t="shared" si="1"/>
        <v>-8.8156223013893288E-3</v>
      </c>
    </row>
    <row r="40" spans="1:4" x14ac:dyDescent="0.2">
      <c r="A40" s="26">
        <v>46238</v>
      </c>
      <c r="B40" s="5">
        <f>B39-2340+453</f>
        <v>383427.7</v>
      </c>
      <c r="C40" s="5">
        <f t="shared" si="0"/>
        <v>-1887</v>
      </c>
      <c r="D40" s="23">
        <f t="shared" si="1"/>
        <v>-4.8972956391230334E-3</v>
      </c>
    </row>
    <row r="41" spans="1:4" x14ac:dyDescent="0.2">
      <c r="A41" s="26">
        <v>46239</v>
      </c>
      <c r="B41" s="5">
        <f>B40+1500-3275</f>
        <v>381652.7</v>
      </c>
      <c r="C41" s="5">
        <f t="shared" si="0"/>
        <v>-1775</v>
      </c>
      <c r="D41" s="23">
        <f t="shared" si="1"/>
        <v>-4.6292951709018416E-3</v>
      </c>
    </row>
    <row r="42" spans="1:4" x14ac:dyDescent="0.2">
      <c r="A42" s="26">
        <v>46240</v>
      </c>
      <c r="B42" s="5">
        <f>B41+2550-1004</f>
        <v>383198.7</v>
      </c>
      <c r="C42" s="5">
        <f t="shared" si="0"/>
        <v>1546</v>
      </c>
      <c r="D42" s="23">
        <f t="shared" si="1"/>
        <v>4.0508032564685117E-3</v>
      </c>
    </row>
    <row r="43" spans="1:4" x14ac:dyDescent="0.2">
      <c r="A43" s="26">
        <v>46241</v>
      </c>
      <c r="B43" s="5">
        <f>B42+840+738</f>
        <v>384776.7</v>
      </c>
      <c r="C43" s="5">
        <f t="shared" si="0"/>
        <v>1578</v>
      </c>
      <c r="D43" s="23">
        <f t="shared" si="1"/>
        <v>4.1179680411233127E-3</v>
      </c>
    </row>
    <row r="44" spans="1:4" x14ac:dyDescent="0.2">
      <c r="A44" s="26">
        <v>46244</v>
      </c>
      <c r="B44" s="5">
        <f>B43+41+540-398-50</f>
        <v>384909.7</v>
      </c>
      <c r="C44" s="5">
        <f t="shared" si="0"/>
        <v>133</v>
      </c>
      <c r="D44" s="23">
        <f t="shared" si="1"/>
        <v>3.4565502536925964E-4</v>
      </c>
    </row>
    <row r="45" spans="1:4" x14ac:dyDescent="0.2">
      <c r="A45" s="26">
        <v>46245</v>
      </c>
      <c r="B45" s="5">
        <f>B44-40-2340-824-1009-1010</f>
        <v>379686.7</v>
      </c>
      <c r="C45" s="5">
        <f t="shared" si="0"/>
        <v>-5223</v>
      </c>
      <c r="D45" s="23">
        <f t="shared" si="1"/>
        <v>-1.3569416411173841E-2</v>
      </c>
    </row>
    <row r="46" spans="1:4" x14ac:dyDescent="0.2">
      <c r="A46" s="26">
        <v>46246</v>
      </c>
      <c r="B46" s="5">
        <f>B45-205-1710-410+2950-212+6683-2764-240</f>
        <v>383778.7</v>
      </c>
      <c r="C46" s="5">
        <f t="shared" si="0"/>
        <v>4092</v>
      </c>
      <c r="D46" s="23">
        <f t="shared" si="1"/>
        <v>1.0777306658358061E-2</v>
      </c>
    </row>
    <row r="47" spans="1:4" x14ac:dyDescent="0.2">
      <c r="A47" s="26">
        <v>46247</v>
      </c>
      <c r="B47" s="5">
        <f>B46-95-1110+960-1500-1040+875+120</f>
        <v>381988.7</v>
      </c>
      <c r="C47" s="5">
        <f t="shared" si="0"/>
        <v>-1790</v>
      </c>
      <c r="D47" s="23">
        <f t="shared" si="1"/>
        <v>-4.6641462905575529E-3</v>
      </c>
    </row>
    <row r="48" spans="1:4" x14ac:dyDescent="0.2">
      <c r="A48" s="26">
        <v>46248</v>
      </c>
      <c r="B48" s="5">
        <f>B47+25-540-1100-7593+350-1166-690</f>
        <v>371274.7</v>
      </c>
      <c r="C48" s="5">
        <f t="shared" si="0"/>
        <v>-10714</v>
      </c>
      <c r="D48" s="23">
        <f t="shared" si="1"/>
        <v>-2.8047950109518945E-2</v>
      </c>
    </row>
    <row r="49" spans="1:4" x14ac:dyDescent="0.2">
      <c r="A49" s="26">
        <v>46251</v>
      </c>
      <c r="B49" s="5">
        <f>B48+95+1620-1380+725+796+220</f>
        <v>373350.7</v>
      </c>
      <c r="C49" s="5">
        <f t="shared" si="0"/>
        <v>2076</v>
      </c>
      <c r="D49" s="23">
        <f t="shared" si="1"/>
        <v>5.5915471751778398E-3</v>
      </c>
    </row>
    <row r="50" spans="1:4" x14ac:dyDescent="0.2">
      <c r="A50" s="26">
        <v>46252</v>
      </c>
      <c r="B50" s="5">
        <f>B49+590+1620+620+1095+826+2690</f>
        <v>380791.7</v>
      </c>
      <c r="C50" s="5">
        <f t="shared" si="0"/>
        <v>7441</v>
      </c>
      <c r="D50" s="23">
        <f t="shared" si="1"/>
        <v>1.9930322884087266E-2</v>
      </c>
    </row>
    <row r="51" spans="1:4" x14ac:dyDescent="0.2">
      <c r="A51" s="26">
        <v>46253</v>
      </c>
      <c r="B51" s="5">
        <f>B50-195+5550+2720-300-3504+1730</f>
        <v>386792.7</v>
      </c>
      <c r="C51" s="5">
        <f t="shared" si="0"/>
        <v>6001</v>
      </c>
      <c r="D51" s="23">
        <f t="shared" si="1"/>
        <v>1.5759272063965678E-2</v>
      </c>
    </row>
    <row r="52" spans="1:4" x14ac:dyDescent="0.2">
      <c r="A52" s="26">
        <v>46254</v>
      </c>
      <c r="B52" s="5">
        <f>B51+155+870-1360+1107.05+1330+1165.8+1267.76</f>
        <v>391328.31</v>
      </c>
      <c r="C52" s="5">
        <f t="shared" si="0"/>
        <v>4535.609999999986</v>
      </c>
      <c r="D52" s="23">
        <f t="shared" si="1"/>
        <v>1.1726203726181973E-2</v>
      </c>
    </row>
    <row r="53" spans="1:4" x14ac:dyDescent="0.2">
      <c r="A53" s="26">
        <v>46255</v>
      </c>
      <c r="B53" s="5">
        <f>B52-445-450-580+585-575-2123</f>
        <v>387740.31</v>
      </c>
      <c r="C53" s="5">
        <f t="shared" si="0"/>
        <v>-3588</v>
      </c>
      <c r="D53" s="23">
        <f t="shared" si="1"/>
        <v>-9.1687718683066913E-3</v>
      </c>
    </row>
    <row r="54" spans="1:4" x14ac:dyDescent="0.2">
      <c r="A54" s="26">
        <v>46258</v>
      </c>
      <c r="B54" s="5">
        <f>B53+105+300+3482+1020+1095+430-311</f>
        <v>393861.31</v>
      </c>
      <c r="C54" s="5">
        <f t="shared" si="0"/>
        <v>6121</v>
      </c>
      <c r="D54" s="23">
        <f t="shared" si="1"/>
        <v>1.5786339057705916E-2</v>
      </c>
    </row>
    <row r="55" spans="1:4" x14ac:dyDescent="0.2">
      <c r="A55" s="26">
        <v>46259</v>
      </c>
      <c r="B55" s="5">
        <f>B54-390+1290+906-402+1017</f>
        <v>396282.31</v>
      </c>
      <c r="C55" s="5">
        <f t="shared" si="0"/>
        <v>2421</v>
      </c>
      <c r="D55" s="23">
        <f t="shared" si="1"/>
        <v>6.1468337674497652E-3</v>
      </c>
    </row>
    <row r="56" spans="1:4" x14ac:dyDescent="0.2">
      <c r="A56" s="26">
        <v>46260</v>
      </c>
      <c r="B56" s="5">
        <f>B55+270-750</f>
        <v>395802.31</v>
      </c>
      <c r="C56" s="5">
        <f t="shared" si="0"/>
        <v>-480</v>
      </c>
      <c r="D56" s="23">
        <f t="shared" si="1"/>
        <v>-1.2112577016117625E-3</v>
      </c>
    </row>
    <row r="57" spans="1:4" x14ac:dyDescent="0.2">
      <c r="A57" s="26">
        <v>46261</v>
      </c>
      <c r="B57" s="5">
        <f>B56+125+690</f>
        <v>396617.31</v>
      </c>
      <c r="C57" s="5">
        <f t="shared" si="0"/>
        <v>815</v>
      </c>
      <c r="D57" s="23">
        <f t="shared" si="1"/>
        <v>2.0591087505275043E-3</v>
      </c>
    </row>
    <row r="58" spans="1:4" x14ac:dyDescent="0.2">
      <c r="A58" s="26">
        <v>46262</v>
      </c>
      <c r="B58" s="5">
        <f>B57+300</f>
        <v>396917.31</v>
      </c>
      <c r="C58" s="5">
        <f t="shared" si="0"/>
        <v>300</v>
      </c>
      <c r="D58" s="23">
        <f t="shared" si="1"/>
        <v>7.5639663836154808E-4</v>
      </c>
    </row>
    <row r="59" spans="1:4" x14ac:dyDescent="0.2">
      <c r="A59" s="26">
        <v>46265</v>
      </c>
      <c r="B59" s="5">
        <f>B58+135+2220-2.59</f>
        <v>399269.72</v>
      </c>
      <c r="C59" s="5">
        <f t="shared" si="0"/>
        <v>2352.4099999999744</v>
      </c>
      <c r="D59" s="23">
        <f t="shared" si="1"/>
        <v>5.9267004505295434E-3</v>
      </c>
    </row>
    <row r="60" spans="1:4" x14ac:dyDescent="0.2">
      <c r="A60" s="26">
        <v>46266</v>
      </c>
      <c r="B60" s="5">
        <f>B59+480-562+1405-1361-623+1800+428</f>
        <v>400836.72</v>
      </c>
      <c r="C60" s="5">
        <f t="shared" si="0"/>
        <v>1567</v>
      </c>
      <c r="D60" s="23">
        <f t="shared" si="1"/>
        <v>3.9246652613676792E-3</v>
      </c>
    </row>
    <row r="61" spans="1:4" x14ac:dyDescent="0.2">
      <c r="A61" s="26">
        <v>46267</v>
      </c>
      <c r="B61" s="5">
        <f>B60-274+71-569+1738+320</f>
        <v>402122.72</v>
      </c>
      <c r="C61" s="5">
        <f t="shared" si="0"/>
        <v>1286</v>
      </c>
      <c r="D61" s="23">
        <f t="shared" si="1"/>
        <v>3.2082889012763106E-3</v>
      </c>
    </row>
    <row r="62" spans="1:4" x14ac:dyDescent="0.2">
      <c r="A62" s="26">
        <v>46268</v>
      </c>
      <c r="B62" s="5">
        <f>B61-359+2891+4108-1112</f>
        <v>407650.72</v>
      </c>
      <c r="C62" s="5">
        <f t="shared" si="0"/>
        <v>5528</v>
      </c>
      <c r="D62" s="23">
        <f t="shared" si="1"/>
        <v>1.3747047170077832E-2</v>
      </c>
    </row>
    <row r="63" spans="1:4" x14ac:dyDescent="0.2">
      <c r="A63" s="26">
        <v>46269</v>
      </c>
      <c r="B63" s="5">
        <f>B62+900</f>
        <v>408550.72</v>
      </c>
      <c r="C63" s="5">
        <f t="shared" si="0"/>
        <v>900</v>
      </c>
      <c r="D63" s="23">
        <f t="shared" si="1"/>
        <v>2.2077723792564381E-3</v>
      </c>
    </row>
    <row r="64" spans="1:4" x14ac:dyDescent="0.2">
      <c r="A64" s="26">
        <v>46272</v>
      </c>
      <c r="B64" s="5">
        <v>408551</v>
      </c>
      <c r="C64" s="22">
        <v>0</v>
      </c>
      <c r="D64" s="23">
        <f t="shared" si="1"/>
        <v>0</v>
      </c>
    </row>
    <row r="65" spans="1:9" x14ac:dyDescent="0.2">
      <c r="A65" s="26">
        <v>46273</v>
      </c>
      <c r="B65" s="5">
        <f>B64-540</f>
        <v>408011</v>
      </c>
      <c r="C65" s="5">
        <f t="shared" si="0"/>
        <v>-540</v>
      </c>
      <c r="D65" s="23">
        <f t="shared" si="1"/>
        <v>-1.3217444088987665E-3</v>
      </c>
    </row>
    <row r="66" spans="1:9" x14ac:dyDescent="0.2">
      <c r="A66" s="26">
        <v>46274</v>
      </c>
      <c r="B66" s="5">
        <f>B65+1639-159-133</f>
        <v>409358</v>
      </c>
      <c r="C66" s="5">
        <f t="shared" si="0"/>
        <v>1347</v>
      </c>
      <c r="D66" s="23">
        <f t="shared" si="1"/>
        <v>3.3013815803985677E-3</v>
      </c>
    </row>
    <row r="67" spans="1:9" x14ac:dyDescent="0.2">
      <c r="A67" s="26">
        <v>46275</v>
      </c>
      <c r="B67" s="5">
        <f>B66+192+614-438+1783+67+219+17</f>
        <v>411812</v>
      </c>
      <c r="C67" s="5">
        <f t="shared" si="0"/>
        <v>2454</v>
      </c>
      <c r="D67" s="23">
        <f t="shared" si="1"/>
        <v>5.9947527591985503E-3</v>
      </c>
    </row>
    <row r="68" spans="1:9" x14ac:dyDescent="0.2">
      <c r="A68" s="26">
        <v>46276</v>
      </c>
      <c r="B68" s="5">
        <f>B67+150+25+1820+518-1920</f>
        <v>412405</v>
      </c>
      <c r="C68" s="5">
        <f t="shared" si="0"/>
        <v>593</v>
      </c>
      <c r="D68" s="23">
        <f t="shared" si="1"/>
        <v>1.4399774654453973E-3</v>
      </c>
    </row>
    <row r="69" spans="1:9" x14ac:dyDescent="0.2">
      <c r="A69" s="26">
        <v>46279</v>
      </c>
      <c r="B69" s="5">
        <f>B68-1737-2132</f>
        <v>408536</v>
      </c>
      <c r="C69" s="5">
        <f t="shared" si="0"/>
        <v>-3869</v>
      </c>
      <c r="D69" s="23">
        <f t="shared" si="1"/>
        <v>-9.3815545398334161E-3</v>
      </c>
    </row>
    <row r="70" spans="1:9" x14ac:dyDescent="0.2">
      <c r="A70" s="26">
        <v>46280</v>
      </c>
      <c r="B70" s="5">
        <f>B69-1790-637</f>
        <v>406109</v>
      </c>
      <c r="C70" s="5">
        <f t="shared" si="0"/>
        <v>-2427</v>
      </c>
      <c r="D70" s="23">
        <f t="shared" si="1"/>
        <v>-5.9407249299939296E-3</v>
      </c>
    </row>
    <row r="71" spans="1:9" x14ac:dyDescent="0.2">
      <c r="A71" s="26">
        <v>46281</v>
      </c>
      <c r="B71" s="5">
        <f>B70-63-1183+7224</f>
        <v>412087</v>
      </c>
      <c r="C71" s="5">
        <f t="shared" si="0"/>
        <v>5978</v>
      </c>
      <c r="D71" s="23">
        <f t="shared" si="1"/>
        <v>1.4720185959927015E-2</v>
      </c>
    </row>
    <row r="72" spans="1:9" x14ac:dyDescent="0.2">
      <c r="A72" s="26">
        <v>46282</v>
      </c>
      <c r="B72" s="5">
        <f>B71-2520+3672+2424</f>
        <v>415663</v>
      </c>
      <c r="C72" s="5">
        <f t="shared" si="0"/>
        <v>3576</v>
      </c>
      <c r="D72" s="23">
        <f t="shared" si="1"/>
        <v>8.6777792068179777E-3</v>
      </c>
    </row>
    <row r="73" spans="1:9" x14ac:dyDescent="0.2">
      <c r="A73" s="26">
        <v>46283</v>
      </c>
      <c r="B73" s="5">
        <f>B72-211-700+634-1511</f>
        <v>413875</v>
      </c>
      <c r="C73" s="5">
        <f t="shared" si="0"/>
        <v>-1788</v>
      </c>
      <c r="D73" s="23">
        <f t="shared" si="1"/>
        <v>-4.3015616015858998E-3</v>
      </c>
    </row>
    <row r="74" spans="1:9" x14ac:dyDescent="0.2">
      <c r="A74" s="26">
        <v>46286</v>
      </c>
      <c r="B74" s="5">
        <f>B73+223-322+166-685+1050+145</f>
        <v>414452</v>
      </c>
      <c r="C74" s="5">
        <f t="shared" si="0"/>
        <v>577</v>
      </c>
      <c r="D74" s="23">
        <f t="shared" si="1"/>
        <v>1.3941407429779523E-3</v>
      </c>
      <c r="F74" s="25" t="s">
        <v>105</v>
      </c>
      <c r="G74" s="27">
        <f>AVERAGE(C3:C93)</f>
        <v>1001.8361538461535</v>
      </c>
      <c r="I74" s="27">
        <v>994.70099999999968</v>
      </c>
    </row>
    <row r="75" spans="1:9" x14ac:dyDescent="0.2">
      <c r="A75" s="26">
        <v>46287</v>
      </c>
      <c r="B75" s="5">
        <f>B74+361-310+2391+10-313+2008-210</f>
        <v>418389</v>
      </c>
      <c r="C75" s="5">
        <f t="shared" si="0"/>
        <v>3937</v>
      </c>
      <c r="D75" s="23">
        <f t="shared" si="1"/>
        <v>9.4992906295542062E-3</v>
      </c>
      <c r="F75" s="25" t="s">
        <v>106</v>
      </c>
      <c r="G75" s="27">
        <f>_xlfn.STDEV.S(C3:C93)</f>
        <v>4041.8271217339247</v>
      </c>
      <c r="I75" s="27">
        <v>4063.8942233804319</v>
      </c>
    </row>
    <row r="76" spans="1:9" x14ac:dyDescent="0.2">
      <c r="A76" s="26">
        <v>46288</v>
      </c>
      <c r="B76" s="5">
        <f>B75-971+158-235-351-411-373-196-485+365</f>
        <v>415890</v>
      </c>
      <c r="C76" s="5">
        <f t="shared" si="0"/>
        <v>-2499</v>
      </c>
      <c r="D76" s="23">
        <f t="shared" si="1"/>
        <v>-5.9729103776628928E-3</v>
      </c>
      <c r="F76" s="25" t="s">
        <v>107</v>
      </c>
      <c r="G76" s="28">
        <f>(G74/G75)*SQRT(252)</f>
        <v>3.934768961181994</v>
      </c>
      <c r="I76" s="28">
        <v>3.8855314585596612</v>
      </c>
    </row>
    <row r="77" spans="1:9" x14ac:dyDescent="0.2">
      <c r="A77" s="26">
        <v>46289</v>
      </c>
      <c r="B77" s="5">
        <f>B76+451-190-215+141</f>
        <v>416077</v>
      </c>
      <c r="C77" s="5">
        <f t="shared" si="0"/>
        <v>187</v>
      </c>
      <c r="D77" s="23">
        <f t="shared" si="1"/>
        <v>4.4963812546586836E-4</v>
      </c>
      <c r="F77" s="25" t="s">
        <v>108</v>
      </c>
      <c r="G77" s="29">
        <f>_xlfn.STDEV.S(D2:D93)*SQRT(252)</f>
        <v>0.17298853160364927</v>
      </c>
      <c r="I77" s="29">
        <v>0.17393524693700121</v>
      </c>
    </row>
    <row r="78" spans="1:9" x14ac:dyDescent="0.2">
      <c r="A78" s="26">
        <v>46290</v>
      </c>
      <c r="B78" s="5">
        <f>B77+1206+104+2234+547-607</f>
        <v>419561</v>
      </c>
      <c r="C78" s="5">
        <f t="shared" si="0"/>
        <v>3484</v>
      </c>
      <c r="D78" s="23">
        <f t="shared" si="1"/>
        <v>8.3734501065908466E-3</v>
      </c>
      <c r="F78" s="25" t="s">
        <v>109</v>
      </c>
      <c r="G78" s="29" cm="1">
        <f t="array" ref="G78">PRODUCT(1+D3:D93)-1</f>
        <v>0.27340092888841583</v>
      </c>
      <c r="I78" s="29">
        <v>0.26847074110515279</v>
      </c>
    </row>
    <row r="79" spans="1:9" x14ac:dyDescent="0.2">
      <c r="A79" s="26">
        <v>46293</v>
      </c>
      <c r="B79" s="5">
        <f>B78+1042-1139+172+289+523-20-620-249+407</f>
        <v>419966</v>
      </c>
      <c r="C79" s="5">
        <f t="shared" si="0"/>
        <v>405</v>
      </c>
      <c r="D79" s="23">
        <f t="shared" si="1"/>
        <v>9.6529467705530299E-4</v>
      </c>
      <c r="F79" s="25" t="s">
        <v>110</v>
      </c>
      <c r="G79" s="29" cm="1">
        <f t="array" ref="G79">PRODUCT(1+D2:D93)^(252/COUNT(D2:D93))-1</f>
        <v>0.93871187618965823</v>
      </c>
      <c r="I79" s="29">
        <v>0.93200128707868957</v>
      </c>
    </row>
    <row r="80" spans="1:9" x14ac:dyDescent="0.2">
      <c r="A80" s="26">
        <v>46294</v>
      </c>
      <c r="B80" s="5">
        <f>B79-1240-558-240-381-285--84+69-32-406+166+95-231</f>
        <v>417007</v>
      </c>
      <c r="C80" s="5">
        <f t="shared" si="0"/>
        <v>-2959</v>
      </c>
      <c r="D80" s="23">
        <f t="shared" si="1"/>
        <v>-7.0458084702094935E-3</v>
      </c>
    </row>
    <row r="81" spans="1:4" x14ac:dyDescent="0.2">
      <c r="A81" s="26">
        <v>46295</v>
      </c>
      <c r="B81" s="5">
        <f>B80-159</f>
        <v>416848</v>
      </c>
      <c r="C81" s="5">
        <f t="shared" si="0"/>
        <v>-159</v>
      </c>
      <c r="D81" s="23">
        <f t="shared" si="1"/>
        <v>-3.812885635013321E-4</v>
      </c>
    </row>
    <row r="82" spans="1:4" x14ac:dyDescent="0.2">
      <c r="A82" s="26">
        <v>46296</v>
      </c>
      <c r="B82" s="5">
        <f>B81+662</f>
        <v>417510</v>
      </c>
      <c r="C82" s="5">
        <f t="shared" si="0"/>
        <v>662</v>
      </c>
      <c r="D82" s="23">
        <f t="shared" si="1"/>
        <v>1.5881088550262926E-3</v>
      </c>
    </row>
    <row r="83" spans="1:4" x14ac:dyDescent="0.2">
      <c r="A83" s="26">
        <v>46297</v>
      </c>
      <c r="B83" s="5">
        <f>B82-3334</f>
        <v>414176</v>
      </c>
      <c r="C83" s="5">
        <f t="shared" si="0"/>
        <v>-3334</v>
      </c>
      <c r="D83" s="23">
        <f t="shared" si="1"/>
        <v>-7.9854374745515072E-3</v>
      </c>
    </row>
    <row r="84" spans="1:4" x14ac:dyDescent="0.2">
      <c r="A84" s="26">
        <v>46300</v>
      </c>
      <c r="B84" s="5">
        <f>B83-1829</f>
        <v>412347</v>
      </c>
      <c r="C84" s="5">
        <f t="shared" si="0"/>
        <v>-1829</v>
      </c>
      <c r="D84" s="23">
        <f t="shared" si="1"/>
        <v>-4.4159970640500661E-3</v>
      </c>
    </row>
    <row r="85" spans="1:4" x14ac:dyDescent="0.2">
      <c r="A85" s="26">
        <v>46301</v>
      </c>
      <c r="B85" s="5">
        <f>B84-65+631-373-4200</f>
        <v>408340</v>
      </c>
      <c r="C85" s="5">
        <f t="shared" si="0"/>
        <v>-4007</v>
      </c>
      <c r="D85" s="23">
        <f t="shared" si="1"/>
        <v>-9.7175437192461682E-3</v>
      </c>
    </row>
    <row r="86" spans="1:4" x14ac:dyDescent="0.2">
      <c r="A86" s="26">
        <v>46302</v>
      </c>
      <c r="B86" s="5">
        <f>B85+7800+938+253</f>
        <v>417331</v>
      </c>
      <c r="C86" s="5">
        <f t="shared" si="0"/>
        <v>8991</v>
      </c>
      <c r="D86" s="23">
        <f t="shared" si="1"/>
        <v>2.2018416025860802E-2</v>
      </c>
    </row>
    <row r="87" spans="1:4" x14ac:dyDescent="0.2">
      <c r="A87" s="26">
        <v>46303</v>
      </c>
      <c r="B87" s="5">
        <f>B86+1458+1236</f>
        <v>420025</v>
      </c>
      <c r="C87" s="5">
        <f t="shared" si="0"/>
        <v>2694</v>
      </c>
      <c r="D87" s="23">
        <f t="shared" si="1"/>
        <v>6.4553076574709279E-3</v>
      </c>
    </row>
    <row r="88" spans="1:4" x14ac:dyDescent="0.2">
      <c r="A88" s="26">
        <v>46304</v>
      </c>
      <c r="B88" s="5">
        <f>B87-386</f>
        <v>419639</v>
      </c>
      <c r="C88" s="5">
        <f t="shared" si="0"/>
        <v>-386</v>
      </c>
      <c r="D88" s="23">
        <f t="shared" si="1"/>
        <v>-9.1899291708826859E-4</v>
      </c>
    </row>
    <row r="89" spans="1:4" x14ac:dyDescent="0.2">
      <c r="A89" s="26">
        <v>46307</v>
      </c>
      <c r="B89" s="5">
        <f>B88-1029</f>
        <v>418610</v>
      </c>
      <c r="C89" s="5">
        <f t="shared" si="0"/>
        <v>-1029</v>
      </c>
      <c r="D89" s="23">
        <f t="shared" si="1"/>
        <v>-2.4521076449043108E-3</v>
      </c>
    </row>
    <row r="90" spans="1:4" x14ac:dyDescent="0.2">
      <c r="A90" s="26">
        <v>46308</v>
      </c>
      <c r="B90" s="5">
        <f>B89+130</f>
        <v>418740</v>
      </c>
      <c r="C90" s="5">
        <f t="shared" si="0"/>
        <v>130</v>
      </c>
      <c r="D90" s="23">
        <f t="shared" si="1"/>
        <v>3.1055158739638327E-4</v>
      </c>
    </row>
    <row r="91" spans="1:4" x14ac:dyDescent="0.2">
      <c r="A91" s="26">
        <v>46309</v>
      </c>
      <c r="B91" s="5">
        <f>B90+586+1300+1200</f>
        <v>421826</v>
      </c>
      <c r="C91" s="5">
        <f t="shared" si="0"/>
        <v>3086</v>
      </c>
      <c r="D91" s="23">
        <f t="shared" si="1"/>
        <v>7.3697282323159953E-3</v>
      </c>
    </row>
    <row r="92" spans="1:4" x14ac:dyDescent="0.2">
      <c r="A92" s="26">
        <v>46310</v>
      </c>
      <c r="B92" s="5">
        <f>B91-10-480+180+533+548+382</f>
        <v>422979</v>
      </c>
      <c r="C92" s="5">
        <f t="shared" si="0"/>
        <v>1153</v>
      </c>
      <c r="D92" s="23">
        <f t="shared" si="1"/>
        <v>2.7333545111017338E-3</v>
      </c>
    </row>
    <row r="93" spans="1:4" x14ac:dyDescent="0.2">
      <c r="A93" s="26">
        <v>46311</v>
      </c>
      <c r="B93" s="5">
        <f>B92+1644</f>
        <v>424623</v>
      </c>
      <c r="C93" s="5">
        <f t="shared" si="0"/>
        <v>1644</v>
      </c>
      <c r="D93" s="23">
        <f t="shared" si="1"/>
        <v>3.886717780315335E-3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EDD2B-54BB-1449-BCF8-F93ADB145E3A}">
  <dimension ref="A1:W1048576"/>
  <sheetViews>
    <sheetView zoomScaleNormal="100" workbookViewId="0">
      <pane ySplit="1" topLeftCell="A70" activePane="bottomLeft" state="frozen"/>
      <selection pane="bottomLeft" activeCell="K101" sqref="K101"/>
    </sheetView>
  </sheetViews>
  <sheetFormatPr baseColWidth="10" defaultColWidth="9.1640625" defaultRowHeight="19" x14ac:dyDescent="0.25"/>
  <cols>
    <col min="1" max="1" width="12.6640625" style="20" bestFit="1" customWidth="1"/>
    <col min="2" max="2" width="12.33203125" style="20" bestFit="1" customWidth="1"/>
    <col min="3" max="3" width="9.33203125" style="19" bestFit="1" customWidth="1"/>
    <col min="4" max="4" width="9.33203125" style="18" bestFit="1" customWidth="1"/>
    <col min="5" max="5" width="11.1640625" style="13" bestFit="1" customWidth="1"/>
    <col min="6" max="7" width="9.33203125" style="13" bestFit="1" customWidth="1"/>
    <col min="8" max="8" width="10" style="13" bestFit="1" customWidth="1"/>
    <col min="9" max="9" width="9.33203125" style="13" bestFit="1" customWidth="1"/>
    <col min="10" max="11" width="9.33203125" style="13" customWidth="1"/>
    <col min="12" max="12" width="9.33203125" style="18" bestFit="1" customWidth="1"/>
    <col min="13" max="13" width="15.83203125" style="21" bestFit="1" customWidth="1"/>
    <col min="14" max="14" width="18" style="17" bestFit="1" customWidth="1"/>
    <col min="15" max="15" width="16.33203125" style="17" bestFit="1" customWidth="1"/>
    <col min="16" max="16" width="18.33203125" style="16" bestFit="1" customWidth="1"/>
    <col min="17" max="17" width="20.5" style="16" bestFit="1" customWidth="1"/>
    <col min="18" max="18" width="16.6640625" style="16" bestFit="1" customWidth="1"/>
    <col min="19" max="19" width="20.33203125" style="16" bestFit="1" customWidth="1"/>
    <col min="20" max="20" width="17.1640625" style="16" bestFit="1" customWidth="1"/>
    <col min="21" max="22" width="17.1640625" style="16" customWidth="1"/>
    <col min="23" max="23" width="14.83203125" style="17" bestFit="1" customWidth="1"/>
    <col min="24" max="16384" width="9.1640625" style="18"/>
  </cols>
  <sheetData>
    <row r="1" spans="1:23" s="8" customFormat="1" x14ac:dyDescent="0.25">
      <c r="A1" s="6" t="s">
        <v>101</v>
      </c>
      <c r="B1" s="6" t="s">
        <v>514</v>
      </c>
      <c r="C1" s="7" t="s">
        <v>515</v>
      </c>
      <c r="D1" s="8" t="s">
        <v>516</v>
      </c>
      <c r="E1" s="8" t="s">
        <v>521</v>
      </c>
      <c r="F1" s="8" t="s">
        <v>114</v>
      </c>
      <c r="G1" s="8" t="s">
        <v>522</v>
      </c>
      <c r="H1" s="8" t="s">
        <v>523</v>
      </c>
      <c r="I1" s="8" t="s">
        <v>525</v>
      </c>
      <c r="J1" s="8" t="s">
        <v>112</v>
      </c>
      <c r="K1" s="8" t="s">
        <v>116</v>
      </c>
      <c r="L1" s="8" t="s">
        <v>43</v>
      </c>
      <c r="M1" s="9" t="s">
        <v>517</v>
      </c>
      <c r="N1" s="8" t="s">
        <v>518</v>
      </c>
      <c r="O1" s="8" t="s">
        <v>519</v>
      </c>
      <c r="P1" s="8" t="s">
        <v>527</v>
      </c>
      <c r="Q1" s="8" t="s">
        <v>528</v>
      </c>
      <c r="R1" s="8" t="s">
        <v>529</v>
      </c>
      <c r="S1" s="8" t="s">
        <v>530</v>
      </c>
      <c r="T1" s="8" t="s">
        <v>531</v>
      </c>
      <c r="U1" s="8" t="s">
        <v>581</v>
      </c>
      <c r="V1" s="8" t="s">
        <v>603</v>
      </c>
      <c r="W1" s="8" t="s">
        <v>520</v>
      </c>
    </row>
    <row r="2" spans="1:23" x14ac:dyDescent="0.25">
      <c r="A2" s="10">
        <v>46175</v>
      </c>
      <c r="B2" s="11">
        <v>300000</v>
      </c>
      <c r="C2" s="12">
        <v>105712</v>
      </c>
      <c r="D2" s="13">
        <v>194288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4">
        <v>300000</v>
      </c>
      <c r="N2" s="15">
        <v>0.35237333333333332</v>
      </c>
      <c r="O2" s="15">
        <v>0.64762666666666668</v>
      </c>
      <c r="P2" s="16">
        <v>0</v>
      </c>
      <c r="Q2" s="16">
        <v>0</v>
      </c>
      <c r="R2" s="16">
        <v>0</v>
      </c>
      <c r="S2" s="16">
        <v>0</v>
      </c>
      <c r="T2" s="16">
        <v>0</v>
      </c>
      <c r="U2" s="16">
        <v>0</v>
      </c>
      <c r="V2" s="16">
        <v>0</v>
      </c>
      <c r="W2" s="15">
        <v>0</v>
      </c>
    </row>
    <row r="3" spans="1:23" x14ac:dyDescent="0.25">
      <c r="A3" s="10">
        <v>46176</v>
      </c>
      <c r="B3" s="11">
        <v>300000</v>
      </c>
      <c r="C3" s="12">
        <v>105712</v>
      </c>
      <c r="D3" s="13">
        <v>194288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4">
        <v>300000</v>
      </c>
      <c r="N3" s="15">
        <v>0.35237333333333332</v>
      </c>
      <c r="O3" s="15">
        <v>0.64762666666666668</v>
      </c>
      <c r="P3" s="16">
        <v>0</v>
      </c>
      <c r="Q3" s="16">
        <v>0</v>
      </c>
      <c r="R3" s="16">
        <v>0</v>
      </c>
      <c r="S3" s="16">
        <v>0</v>
      </c>
      <c r="T3" s="16">
        <v>0</v>
      </c>
      <c r="U3" s="16">
        <v>0</v>
      </c>
      <c r="V3" s="16">
        <v>0</v>
      </c>
      <c r="W3" s="15">
        <v>0</v>
      </c>
    </row>
    <row r="4" spans="1:23" x14ac:dyDescent="0.25">
      <c r="A4" s="10">
        <v>46177</v>
      </c>
      <c r="B4" s="11">
        <v>300000</v>
      </c>
      <c r="C4" s="13">
        <v>244380</v>
      </c>
      <c r="D4" s="13">
        <v>55620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4">
        <v>300000</v>
      </c>
      <c r="N4" s="15">
        <v>0.81459999999999999</v>
      </c>
      <c r="O4" s="15">
        <v>0.18540000000000001</v>
      </c>
      <c r="P4" s="16">
        <v>0</v>
      </c>
      <c r="Q4" s="16">
        <v>0</v>
      </c>
      <c r="R4" s="16">
        <v>0</v>
      </c>
      <c r="S4" s="16">
        <v>0</v>
      </c>
      <c r="T4" s="16">
        <v>0</v>
      </c>
      <c r="U4" s="16">
        <v>0</v>
      </c>
      <c r="V4" s="16">
        <v>0</v>
      </c>
      <c r="W4" s="15">
        <v>0</v>
      </c>
    </row>
    <row r="5" spans="1:23" x14ac:dyDescent="0.25">
      <c r="A5" s="10">
        <v>46178</v>
      </c>
      <c r="B5" s="11">
        <v>300000</v>
      </c>
      <c r="C5" s="13">
        <v>244380</v>
      </c>
      <c r="D5" s="13">
        <v>0</v>
      </c>
      <c r="E5" s="13">
        <v>0</v>
      </c>
      <c r="F5" s="13">
        <v>663350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4">
        <v>907730</v>
      </c>
      <c r="N5" s="15">
        <v>0.2692210238727375</v>
      </c>
      <c r="O5" s="15">
        <v>0</v>
      </c>
      <c r="P5" s="16">
        <v>0.7307789761272625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5">
        <v>0</v>
      </c>
    </row>
    <row r="6" spans="1:23" x14ac:dyDescent="0.25">
      <c r="A6" s="10">
        <v>46181</v>
      </c>
      <c r="B6" s="11">
        <v>300000</v>
      </c>
      <c r="C6" s="13">
        <v>138668</v>
      </c>
      <c r="D6" s="13">
        <v>0</v>
      </c>
      <c r="E6" s="13">
        <v>2894900</v>
      </c>
      <c r="F6" s="13">
        <v>663350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4">
        <v>3696918</v>
      </c>
      <c r="N6" s="15">
        <v>3.7509081889292646E-2</v>
      </c>
      <c r="O6" s="15">
        <v>0</v>
      </c>
      <c r="P6" s="16">
        <v>0.17943324682884501</v>
      </c>
      <c r="Q6" s="16">
        <v>0.78305767128186232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5">
        <v>0</v>
      </c>
    </row>
    <row r="7" spans="1:23" x14ac:dyDescent="0.25">
      <c r="A7" s="10">
        <v>46182</v>
      </c>
      <c r="B7" s="11">
        <v>300000</v>
      </c>
      <c r="C7" s="13">
        <v>138668</v>
      </c>
      <c r="D7" s="13">
        <v>0</v>
      </c>
      <c r="E7" s="13">
        <v>0</v>
      </c>
      <c r="F7" s="13">
        <v>663350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4">
        <v>802018</v>
      </c>
      <c r="N7" s="15">
        <v>0.17289886261904347</v>
      </c>
      <c r="O7" s="15">
        <v>0</v>
      </c>
      <c r="P7" s="16">
        <v>0.82710113738095659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5">
        <v>0</v>
      </c>
    </row>
    <row r="8" spans="1:23" x14ac:dyDescent="0.25">
      <c r="A8" s="10">
        <v>46183</v>
      </c>
      <c r="B8" s="11">
        <v>300000</v>
      </c>
      <c r="C8" s="13">
        <v>138668</v>
      </c>
      <c r="D8" s="13">
        <v>0</v>
      </c>
      <c r="E8" s="13">
        <v>0</v>
      </c>
      <c r="F8" s="13">
        <v>461469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4">
        <v>600137</v>
      </c>
      <c r="N8" s="15">
        <v>0.23106057450215534</v>
      </c>
      <c r="O8" s="15">
        <v>0</v>
      </c>
      <c r="P8" s="16">
        <v>0.76893942549784466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5">
        <v>0</v>
      </c>
    </row>
    <row r="9" spans="1:23" x14ac:dyDescent="0.25">
      <c r="A9" s="10">
        <v>46184</v>
      </c>
      <c r="B9" s="11">
        <v>333455.63</v>
      </c>
      <c r="C9" s="13">
        <v>138668</v>
      </c>
      <c r="D9" s="13">
        <v>0</v>
      </c>
      <c r="E9" s="13">
        <v>0</v>
      </c>
      <c r="F9" s="13">
        <v>461469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4">
        <v>600137</v>
      </c>
      <c r="N9" s="15">
        <v>0.23106057450215534</v>
      </c>
      <c r="O9" s="15">
        <v>0</v>
      </c>
      <c r="P9" s="16">
        <v>0.76893942549784466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5">
        <v>0</v>
      </c>
    </row>
    <row r="10" spans="1:23" x14ac:dyDescent="0.25">
      <c r="A10" s="10">
        <v>46185</v>
      </c>
      <c r="B10" s="11">
        <v>350216.98</v>
      </c>
      <c r="C10" s="13">
        <v>0</v>
      </c>
      <c r="D10" s="13">
        <v>0</v>
      </c>
      <c r="E10" s="13">
        <v>0</v>
      </c>
      <c r="F10" s="13">
        <v>461469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4">
        <v>461469</v>
      </c>
      <c r="N10" s="15">
        <v>0</v>
      </c>
      <c r="O10" s="15">
        <v>0</v>
      </c>
      <c r="P10" s="16">
        <v>1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5">
        <v>0</v>
      </c>
    </row>
    <row r="11" spans="1:23" x14ac:dyDescent="0.25">
      <c r="A11" s="10">
        <v>46188</v>
      </c>
      <c r="B11" s="11">
        <v>356930.64</v>
      </c>
      <c r="C11" s="13">
        <v>0</v>
      </c>
      <c r="D11" s="13">
        <v>0</v>
      </c>
      <c r="E11" s="13">
        <v>0</v>
      </c>
      <c r="F11" s="13">
        <v>461469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4">
        <v>461469</v>
      </c>
      <c r="N11" s="15">
        <v>0</v>
      </c>
      <c r="O11" s="15">
        <v>0</v>
      </c>
      <c r="P11" s="16">
        <v>1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5">
        <v>0</v>
      </c>
    </row>
    <row r="12" spans="1:23" x14ac:dyDescent="0.25">
      <c r="A12" s="10">
        <v>46189</v>
      </c>
      <c r="B12" s="11">
        <v>351815.49</v>
      </c>
      <c r="C12" s="13">
        <v>0</v>
      </c>
      <c r="D12" s="13">
        <v>0</v>
      </c>
      <c r="E12" s="13">
        <v>0</v>
      </c>
      <c r="F12" s="13">
        <v>461469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4">
        <v>461469</v>
      </c>
      <c r="N12" s="15">
        <v>0</v>
      </c>
      <c r="O12" s="15">
        <v>0</v>
      </c>
      <c r="P12" s="16">
        <v>1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5">
        <v>0</v>
      </c>
    </row>
    <row r="13" spans="1:23" x14ac:dyDescent="0.25">
      <c r="A13" s="10">
        <v>46190</v>
      </c>
      <c r="B13" s="11">
        <v>358486.01</v>
      </c>
      <c r="C13" s="13">
        <v>0</v>
      </c>
      <c r="D13" s="13">
        <v>0</v>
      </c>
      <c r="E13" s="13">
        <v>0</v>
      </c>
      <c r="F13" s="13">
        <v>461469</v>
      </c>
      <c r="G13" s="13">
        <v>131240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4">
        <v>592709</v>
      </c>
      <c r="N13" s="15">
        <v>0</v>
      </c>
      <c r="O13" s="15">
        <v>0</v>
      </c>
      <c r="P13" s="16">
        <v>0.77857599597779015</v>
      </c>
      <c r="Q13" s="16">
        <v>0</v>
      </c>
      <c r="R13" s="16">
        <v>0.22142400402220988</v>
      </c>
      <c r="S13" s="16">
        <v>0</v>
      </c>
      <c r="T13" s="16">
        <v>0</v>
      </c>
      <c r="U13" s="16">
        <v>0</v>
      </c>
      <c r="V13" s="16">
        <v>0</v>
      </c>
      <c r="W13" s="15">
        <v>0</v>
      </c>
    </row>
    <row r="14" spans="1:23" x14ac:dyDescent="0.25">
      <c r="A14" s="10">
        <v>46191</v>
      </c>
      <c r="B14" s="11">
        <v>360758.08</v>
      </c>
      <c r="C14" s="13">
        <v>0</v>
      </c>
      <c r="D14" s="13">
        <v>0</v>
      </c>
      <c r="E14" s="13">
        <v>0</v>
      </c>
      <c r="F14" s="13">
        <v>461469</v>
      </c>
      <c r="G14" s="13">
        <v>131240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4">
        <v>592709</v>
      </c>
      <c r="N14" s="15">
        <v>0</v>
      </c>
      <c r="O14" s="15">
        <v>0</v>
      </c>
      <c r="P14" s="16">
        <v>0.77857599597779015</v>
      </c>
      <c r="Q14" s="16">
        <v>0</v>
      </c>
      <c r="R14" s="16">
        <v>0.22142400402220988</v>
      </c>
      <c r="S14" s="16">
        <v>0</v>
      </c>
      <c r="T14" s="16">
        <v>0</v>
      </c>
      <c r="U14" s="16">
        <v>0</v>
      </c>
      <c r="V14" s="16">
        <v>0</v>
      </c>
      <c r="W14" s="15">
        <v>0</v>
      </c>
    </row>
    <row r="15" spans="1:23" x14ac:dyDescent="0.25">
      <c r="A15" s="10">
        <v>46192</v>
      </c>
      <c r="B15" s="11">
        <v>360243.39</v>
      </c>
      <c r="C15" s="13">
        <v>0</v>
      </c>
      <c r="D15" s="13">
        <v>0</v>
      </c>
      <c r="E15" s="13">
        <v>0</v>
      </c>
      <c r="F15" s="13">
        <v>461469</v>
      </c>
      <c r="G15" s="13">
        <v>131240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4">
        <v>592709</v>
      </c>
      <c r="N15" s="15">
        <v>0</v>
      </c>
      <c r="O15" s="15">
        <v>0</v>
      </c>
      <c r="P15" s="16">
        <v>0.77857599597779015</v>
      </c>
      <c r="Q15" s="16">
        <v>0</v>
      </c>
      <c r="R15" s="16">
        <v>0.22142400402220988</v>
      </c>
      <c r="S15" s="16">
        <v>0</v>
      </c>
      <c r="T15" s="16">
        <v>0</v>
      </c>
      <c r="U15" s="16">
        <v>0</v>
      </c>
      <c r="V15" s="16">
        <v>0</v>
      </c>
      <c r="W15" s="15">
        <v>0</v>
      </c>
    </row>
    <row r="16" spans="1:23" x14ac:dyDescent="0.25">
      <c r="A16" s="10">
        <v>46195</v>
      </c>
      <c r="B16" s="11">
        <v>351346.76</v>
      </c>
      <c r="C16" s="13">
        <v>0</v>
      </c>
      <c r="D16" s="13">
        <v>0</v>
      </c>
      <c r="E16" s="13">
        <v>3124781</v>
      </c>
      <c r="F16" s="13">
        <v>461469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4">
        <v>3586250</v>
      </c>
      <c r="N16" s="15">
        <v>0</v>
      </c>
      <c r="O16" s="15">
        <v>0</v>
      </c>
      <c r="P16" s="16">
        <v>0.12867730916695713</v>
      </c>
      <c r="Q16" s="16">
        <v>0.87132269083304292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5">
        <v>0</v>
      </c>
    </row>
    <row r="17" spans="1:23" x14ac:dyDescent="0.25">
      <c r="A17" s="10">
        <v>46196</v>
      </c>
      <c r="B17" s="11">
        <v>352224.24</v>
      </c>
      <c r="C17" s="13">
        <v>0</v>
      </c>
      <c r="D17" s="13">
        <v>0</v>
      </c>
      <c r="E17" s="13">
        <v>3124781</v>
      </c>
      <c r="F17" s="13">
        <v>461469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4">
        <v>3586250</v>
      </c>
      <c r="N17" s="15">
        <v>0</v>
      </c>
      <c r="O17" s="15">
        <v>0</v>
      </c>
      <c r="P17" s="16">
        <v>0.12867730916695713</v>
      </c>
      <c r="Q17" s="16">
        <v>0.87132269083304292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5">
        <v>0</v>
      </c>
    </row>
    <row r="18" spans="1:23" x14ac:dyDescent="0.25">
      <c r="A18" s="10">
        <v>46197</v>
      </c>
      <c r="B18" s="11">
        <v>347929.11</v>
      </c>
      <c r="C18" s="13">
        <v>0</v>
      </c>
      <c r="D18" s="13">
        <v>0</v>
      </c>
      <c r="E18" s="13">
        <v>3124781</v>
      </c>
      <c r="F18" s="13">
        <v>461469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193096</v>
      </c>
      <c r="M18" s="14">
        <v>3779346</v>
      </c>
      <c r="N18" s="15">
        <v>0</v>
      </c>
      <c r="O18" s="15">
        <v>0</v>
      </c>
      <c r="P18" s="16">
        <v>0.12210287176670249</v>
      </c>
      <c r="Q18" s="16">
        <v>0.8268046905469888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5">
        <v>5.1092437686308688E-2</v>
      </c>
    </row>
    <row r="19" spans="1:23" x14ac:dyDescent="0.25">
      <c r="A19" s="10">
        <v>46198</v>
      </c>
      <c r="B19" s="11">
        <v>349277.46</v>
      </c>
      <c r="C19" s="13">
        <v>0</v>
      </c>
      <c r="D19" s="13">
        <v>0</v>
      </c>
      <c r="E19" s="13">
        <v>3124781</v>
      </c>
      <c r="F19" s="13">
        <v>663594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193096</v>
      </c>
      <c r="M19" s="14">
        <v>3981471</v>
      </c>
      <c r="N19" s="15">
        <v>0</v>
      </c>
      <c r="O19" s="15">
        <v>0</v>
      </c>
      <c r="P19" s="16">
        <v>0.16667055970017111</v>
      </c>
      <c r="Q19" s="16">
        <v>0.78483078239173409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5">
        <v>4.8498657908094774E-2</v>
      </c>
    </row>
    <row r="20" spans="1:23" x14ac:dyDescent="0.25">
      <c r="A20" s="10">
        <v>46199</v>
      </c>
      <c r="B20" s="11">
        <v>351579.06</v>
      </c>
      <c r="C20" s="13">
        <v>0</v>
      </c>
      <c r="D20" s="13">
        <v>0</v>
      </c>
      <c r="E20" s="13">
        <v>3124781</v>
      </c>
      <c r="F20" s="13">
        <v>663594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193096</v>
      </c>
      <c r="M20" s="14">
        <v>3981471</v>
      </c>
      <c r="N20" s="15">
        <v>0</v>
      </c>
      <c r="O20" s="15">
        <v>0</v>
      </c>
      <c r="P20" s="16">
        <v>0.16667055970017111</v>
      </c>
      <c r="Q20" s="16">
        <v>0.78483078239173409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5">
        <v>4.8498657908094774E-2</v>
      </c>
    </row>
    <row r="21" spans="1:23" x14ac:dyDescent="0.25">
      <c r="A21" s="10">
        <v>46202</v>
      </c>
      <c r="B21" s="11">
        <v>359661.12</v>
      </c>
      <c r="C21" s="13">
        <v>55035</v>
      </c>
      <c r="D21" s="13">
        <v>0</v>
      </c>
      <c r="E21" s="13">
        <v>3124781</v>
      </c>
      <c r="F21" s="13">
        <v>663594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416939</v>
      </c>
      <c r="M21" s="14">
        <v>4260349</v>
      </c>
      <c r="N21" s="15">
        <v>1.2917955782495754E-2</v>
      </c>
      <c r="O21" s="15">
        <v>0</v>
      </c>
      <c r="P21" s="16">
        <v>0.1557604787776776</v>
      </c>
      <c r="Q21" s="16">
        <v>0.73345657832257405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5">
        <v>9.7864987117252597E-2</v>
      </c>
    </row>
    <row r="22" spans="1:23" x14ac:dyDescent="0.25">
      <c r="A22" s="10">
        <v>46203</v>
      </c>
      <c r="B22" s="11">
        <v>361447.55</v>
      </c>
      <c r="C22" s="13">
        <v>55035</v>
      </c>
      <c r="D22" s="13">
        <v>0</v>
      </c>
      <c r="E22" s="13">
        <v>3124781</v>
      </c>
      <c r="F22" s="13">
        <v>0</v>
      </c>
      <c r="G22" s="13">
        <v>0</v>
      </c>
      <c r="H22" s="13">
        <v>121064</v>
      </c>
      <c r="I22" s="13">
        <v>0</v>
      </c>
      <c r="J22" s="13">
        <v>0</v>
      </c>
      <c r="K22" s="13">
        <v>0</v>
      </c>
      <c r="L22" s="13">
        <v>223843</v>
      </c>
      <c r="M22" s="14">
        <v>3524723</v>
      </c>
      <c r="N22" s="15">
        <v>1.5613992929373457E-2</v>
      </c>
      <c r="O22" s="15">
        <v>0</v>
      </c>
      <c r="P22" s="16">
        <v>0</v>
      </c>
      <c r="Q22" s="16">
        <v>0.88653236013156211</v>
      </c>
      <c r="R22" s="16">
        <v>0</v>
      </c>
      <c r="S22" s="16">
        <v>3.4347096211532084E-2</v>
      </c>
      <c r="T22" s="16">
        <v>0</v>
      </c>
      <c r="U22" s="16">
        <v>0</v>
      </c>
      <c r="V22" s="16">
        <v>0</v>
      </c>
      <c r="W22" s="15">
        <v>6.3506550727532349E-2</v>
      </c>
    </row>
    <row r="23" spans="1:23" x14ac:dyDescent="0.25">
      <c r="A23" s="10">
        <v>46204</v>
      </c>
      <c r="B23" s="11">
        <v>363377.97</v>
      </c>
      <c r="C23" s="13">
        <v>0</v>
      </c>
      <c r="D23" s="13">
        <v>0</v>
      </c>
      <c r="E23" s="13">
        <v>3124781</v>
      </c>
      <c r="F23" s="13">
        <v>0</v>
      </c>
      <c r="G23" s="13">
        <v>0</v>
      </c>
      <c r="H23" s="13">
        <v>121064</v>
      </c>
      <c r="I23" s="13">
        <v>0</v>
      </c>
      <c r="J23" s="13">
        <v>0</v>
      </c>
      <c r="K23" s="13">
        <v>0</v>
      </c>
      <c r="L23" s="13">
        <v>223843</v>
      </c>
      <c r="M23" s="14">
        <v>3469688</v>
      </c>
      <c r="N23" s="15">
        <v>0</v>
      </c>
      <c r="O23" s="15">
        <v>0</v>
      </c>
      <c r="P23" s="16">
        <v>0</v>
      </c>
      <c r="Q23" s="16">
        <v>0.90059423210386635</v>
      </c>
      <c r="R23" s="16">
        <v>0</v>
      </c>
      <c r="S23" s="16">
        <v>3.4891898061151318E-2</v>
      </c>
      <c r="T23" s="16">
        <v>0</v>
      </c>
      <c r="U23" s="16">
        <v>0</v>
      </c>
      <c r="V23" s="16">
        <v>0</v>
      </c>
      <c r="W23" s="15">
        <v>6.4513869834982279E-2</v>
      </c>
    </row>
    <row r="24" spans="1:23" x14ac:dyDescent="0.25">
      <c r="A24" s="10">
        <v>46205</v>
      </c>
      <c r="B24" s="11">
        <v>374651</v>
      </c>
      <c r="C24" s="13">
        <v>0</v>
      </c>
      <c r="D24" s="13">
        <v>0</v>
      </c>
      <c r="E24" s="13">
        <v>0</v>
      </c>
      <c r="F24" s="13">
        <v>0</v>
      </c>
      <c r="G24" s="13">
        <v>116025</v>
      </c>
      <c r="H24" s="13">
        <v>121064</v>
      </c>
      <c r="I24" s="13">
        <v>0</v>
      </c>
      <c r="J24" s="13">
        <v>0</v>
      </c>
      <c r="K24" s="13">
        <v>0</v>
      </c>
      <c r="L24" s="13">
        <v>223843</v>
      </c>
      <c r="M24" s="14">
        <f>SUM(C24:L24)</f>
        <v>460932</v>
      </c>
      <c r="N24" s="15">
        <v>0</v>
      </c>
      <c r="O24" s="15">
        <v>0</v>
      </c>
      <c r="P24" s="16">
        <v>0</v>
      </c>
      <c r="Q24" s="16">
        <v>0</v>
      </c>
      <c r="R24" s="16">
        <f>G24/M24</f>
        <v>0.25171825779073703</v>
      </c>
      <c r="S24" s="16">
        <f>H24/M24</f>
        <v>0.2626504560325601</v>
      </c>
      <c r="T24" s="16">
        <v>0</v>
      </c>
      <c r="U24" s="16">
        <v>0</v>
      </c>
      <c r="V24" s="16">
        <v>0</v>
      </c>
      <c r="W24" s="15">
        <f>L24/M24</f>
        <v>0.48563128617670287</v>
      </c>
    </row>
    <row r="25" spans="1:23" x14ac:dyDescent="0.25">
      <c r="A25" s="10">
        <v>46206</v>
      </c>
      <c r="B25" s="11">
        <v>374479.39</v>
      </c>
      <c r="C25" s="13">
        <v>0</v>
      </c>
      <c r="D25" s="13">
        <v>29572.390000000014</v>
      </c>
      <c r="E25" s="13">
        <v>0</v>
      </c>
      <c r="F25" s="13">
        <v>0</v>
      </c>
      <c r="G25" s="13">
        <v>0</v>
      </c>
      <c r="H25" s="13">
        <v>121064</v>
      </c>
      <c r="I25" s="13">
        <v>0</v>
      </c>
      <c r="J25" s="13">
        <v>0</v>
      </c>
      <c r="K25" s="13">
        <v>0</v>
      </c>
      <c r="L25" s="13">
        <v>223843</v>
      </c>
      <c r="M25" s="14">
        <v>374479.39</v>
      </c>
      <c r="N25" s="15">
        <v>0</v>
      </c>
      <c r="O25" s="15">
        <v>7.8969339273918415E-2</v>
      </c>
      <c r="P25" s="16">
        <v>0</v>
      </c>
      <c r="Q25" s="16">
        <v>0</v>
      </c>
      <c r="R25" s="16">
        <v>0</v>
      </c>
      <c r="S25" s="16">
        <v>0.32328614933921995</v>
      </c>
      <c r="T25" s="16">
        <v>0</v>
      </c>
      <c r="U25" s="16">
        <v>0</v>
      </c>
      <c r="V25" s="16">
        <v>0</v>
      </c>
      <c r="W25" s="15">
        <v>0.59774451138686158</v>
      </c>
    </row>
    <row r="26" spans="1:23" x14ac:dyDescent="0.25">
      <c r="A26" s="10">
        <v>46209</v>
      </c>
      <c r="B26" s="11">
        <v>372801.92</v>
      </c>
      <c r="C26" s="13">
        <v>0</v>
      </c>
      <c r="D26" s="13">
        <v>27894.919999999984</v>
      </c>
      <c r="E26" s="13">
        <v>0</v>
      </c>
      <c r="F26" s="13">
        <v>0</v>
      </c>
      <c r="G26" s="13">
        <v>0</v>
      </c>
      <c r="H26" s="13">
        <v>121064</v>
      </c>
      <c r="I26" s="13">
        <v>0</v>
      </c>
      <c r="J26" s="13">
        <v>0</v>
      </c>
      <c r="K26" s="13">
        <v>0</v>
      </c>
      <c r="L26" s="13">
        <v>223843</v>
      </c>
      <c r="M26" s="14">
        <v>372801.92</v>
      </c>
      <c r="N26" s="15">
        <v>0</v>
      </c>
      <c r="O26" s="15">
        <v>7.4825043819516768E-2</v>
      </c>
      <c r="P26" s="16">
        <v>0</v>
      </c>
      <c r="Q26" s="16">
        <v>0</v>
      </c>
      <c r="R26" s="16">
        <v>0</v>
      </c>
      <c r="S26" s="16">
        <v>0.32474081678549299</v>
      </c>
      <c r="T26" s="16">
        <v>0</v>
      </c>
      <c r="U26" s="16">
        <v>0</v>
      </c>
      <c r="V26" s="16">
        <v>0</v>
      </c>
      <c r="W26" s="15">
        <v>0.60043413939499024</v>
      </c>
    </row>
    <row r="27" spans="1:23" x14ac:dyDescent="0.25">
      <c r="A27" s="10">
        <v>46210</v>
      </c>
      <c r="B27" s="11">
        <v>375246.11</v>
      </c>
      <c r="C27" s="13">
        <v>0</v>
      </c>
      <c r="D27" s="13">
        <v>30339.109999999986</v>
      </c>
      <c r="E27" s="13">
        <v>0</v>
      </c>
      <c r="F27" s="13">
        <v>0</v>
      </c>
      <c r="G27" s="13">
        <v>0</v>
      </c>
      <c r="H27" s="13">
        <v>121064</v>
      </c>
      <c r="I27" s="13">
        <v>0</v>
      </c>
      <c r="J27" s="13">
        <v>0</v>
      </c>
      <c r="K27" s="13">
        <v>0</v>
      </c>
      <c r="L27" s="13">
        <v>223843</v>
      </c>
      <c r="M27" s="14">
        <v>375246.11</v>
      </c>
      <c r="N27" s="15">
        <v>0</v>
      </c>
      <c r="O27" s="15">
        <v>8.0851231209298838E-2</v>
      </c>
      <c r="P27" s="16">
        <v>0</v>
      </c>
      <c r="Q27" s="16">
        <v>0</v>
      </c>
      <c r="R27" s="16">
        <v>0</v>
      </c>
      <c r="S27" s="16">
        <v>0.32262559630531545</v>
      </c>
      <c r="T27" s="16">
        <v>0</v>
      </c>
      <c r="U27" s="16">
        <v>0</v>
      </c>
      <c r="V27" s="16">
        <v>0</v>
      </c>
      <c r="W27" s="15">
        <v>0.59652317248538567</v>
      </c>
    </row>
    <row r="28" spans="1:23" x14ac:dyDescent="0.25">
      <c r="A28" s="10">
        <v>46211</v>
      </c>
      <c r="B28" s="11">
        <v>377280.97</v>
      </c>
      <c r="C28" s="13">
        <v>90811</v>
      </c>
      <c r="D28" s="13">
        <v>0</v>
      </c>
      <c r="E28" s="13">
        <v>0</v>
      </c>
      <c r="F28" s="13">
        <v>0</v>
      </c>
      <c r="G28" s="13">
        <v>0</v>
      </c>
      <c r="H28" s="13">
        <v>121064</v>
      </c>
      <c r="I28" s="13">
        <v>0</v>
      </c>
      <c r="J28" s="13">
        <v>0</v>
      </c>
      <c r="K28" s="13">
        <v>0</v>
      </c>
      <c r="L28" s="13">
        <v>223843</v>
      </c>
      <c r="M28" s="14">
        <v>435718</v>
      </c>
      <c r="N28" s="15">
        <v>0.20841691185583336</v>
      </c>
      <c r="O28" s="15">
        <v>0</v>
      </c>
      <c r="P28" s="16">
        <v>0</v>
      </c>
      <c r="Q28" s="16">
        <v>0</v>
      </c>
      <c r="R28" s="16">
        <v>0</v>
      </c>
      <c r="S28" s="16">
        <v>0.27784943472613022</v>
      </c>
      <c r="T28" s="16">
        <v>0</v>
      </c>
      <c r="U28" s="16">
        <v>0</v>
      </c>
      <c r="V28" s="16">
        <v>0</v>
      </c>
      <c r="W28" s="15">
        <v>0.51373365341803645</v>
      </c>
    </row>
    <row r="29" spans="1:23" x14ac:dyDescent="0.25">
      <c r="A29" s="10">
        <v>46212</v>
      </c>
      <c r="B29" s="11">
        <v>374471.51</v>
      </c>
      <c r="C29" s="13">
        <v>90811</v>
      </c>
      <c r="D29" s="13">
        <v>0</v>
      </c>
      <c r="E29" s="13">
        <v>0</v>
      </c>
      <c r="F29" s="13">
        <v>0</v>
      </c>
      <c r="G29" s="13">
        <v>0</v>
      </c>
      <c r="H29" s="13">
        <v>121064</v>
      </c>
      <c r="I29" s="13">
        <v>0</v>
      </c>
      <c r="J29" s="13">
        <v>0</v>
      </c>
      <c r="K29" s="13">
        <v>0</v>
      </c>
      <c r="L29" s="13">
        <v>223843</v>
      </c>
      <c r="M29" s="14">
        <v>435718</v>
      </c>
      <c r="N29" s="15">
        <v>0.20841691185583336</v>
      </c>
      <c r="O29" s="15">
        <v>0</v>
      </c>
      <c r="P29" s="16">
        <v>0</v>
      </c>
      <c r="Q29" s="16">
        <v>0</v>
      </c>
      <c r="R29" s="16">
        <v>0</v>
      </c>
      <c r="S29" s="16">
        <v>0.27784943472613022</v>
      </c>
      <c r="T29" s="16">
        <v>0</v>
      </c>
      <c r="U29" s="16">
        <v>0</v>
      </c>
      <c r="V29" s="16">
        <v>0</v>
      </c>
      <c r="W29" s="15">
        <v>0.51373365341803645</v>
      </c>
    </row>
    <row r="30" spans="1:23" x14ac:dyDescent="0.25">
      <c r="A30" s="10">
        <v>46213</v>
      </c>
      <c r="B30" s="11">
        <v>376468.72</v>
      </c>
      <c r="C30" s="13">
        <v>90811</v>
      </c>
      <c r="D30" s="13">
        <v>0</v>
      </c>
      <c r="E30" s="13">
        <v>0</v>
      </c>
      <c r="F30" s="13">
        <v>0</v>
      </c>
      <c r="G30" s="13">
        <v>0</v>
      </c>
      <c r="H30" s="13">
        <v>121064</v>
      </c>
      <c r="I30" s="13">
        <v>0</v>
      </c>
      <c r="J30" s="13">
        <v>0</v>
      </c>
      <c r="K30" s="13">
        <v>0</v>
      </c>
      <c r="L30" s="13">
        <v>223843</v>
      </c>
      <c r="M30" s="14">
        <v>435718</v>
      </c>
      <c r="N30" s="15">
        <v>0.20841691185583336</v>
      </c>
      <c r="O30" s="15">
        <v>0</v>
      </c>
      <c r="P30" s="16">
        <v>0</v>
      </c>
      <c r="Q30" s="16">
        <v>0</v>
      </c>
      <c r="R30" s="16">
        <v>0</v>
      </c>
      <c r="S30" s="16">
        <v>0.27784943472613022</v>
      </c>
      <c r="T30" s="16">
        <v>0</v>
      </c>
      <c r="U30" s="16">
        <v>0</v>
      </c>
      <c r="V30" s="16">
        <v>0</v>
      </c>
      <c r="W30" s="15">
        <v>0.51373365341803645</v>
      </c>
    </row>
    <row r="31" spans="1:23" x14ac:dyDescent="0.25">
      <c r="A31" s="10">
        <v>46216</v>
      </c>
      <c r="B31" s="11">
        <v>379175.63</v>
      </c>
      <c r="C31" s="13">
        <v>90811</v>
      </c>
      <c r="D31" s="13">
        <v>0</v>
      </c>
      <c r="E31" s="13">
        <v>0</v>
      </c>
      <c r="F31" s="13">
        <v>0</v>
      </c>
      <c r="G31" s="13">
        <v>0</v>
      </c>
      <c r="H31" s="13">
        <v>121064</v>
      </c>
      <c r="I31" s="13">
        <v>0</v>
      </c>
      <c r="J31" s="13">
        <v>0</v>
      </c>
      <c r="K31" s="13">
        <v>0</v>
      </c>
      <c r="L31" s="13">
        <v>223843</v>
      </c>
      <c r="M31" s="14">
        <v>435718</v>
      </c>
      <c r="N31" s="15">
        <v>0.20841691185583336</v>
      </c>
      <c r="O31" s="15">
        <v>0</v>
      </c>
      <c r="P31" s="16">
        <v>0</v>
      </c>
      <c r="Q31" s="16">
        <v>0</v>
      </c>
      <c r="R31" s="16">
        <v>0</v>
      </c>
      <c r="S31" s="16">
        <v>0.27784943472613022</v>
      </c>
      <c r="T31" s="16">
        <v>0</v>
      </c>
      <c r="U31" s="16">
        <v>0</v>
      </c>
      <c r="V31" s="16">
        <v>0</v>
      </c>
      <c r="W31" s="15">
        <v>0.51373365341803645</v>
      </c>
    </row>
    <row r="32" spans="1:23" x14ac:dyDescent="0.25">
      <c r="A32" s="10">
        <v>46217</v>
      </c>
      <c r="B32" s="11">
        <v>378852.03</v>
      </c>
      <c r="C32" s="13">
        <v>0</v>
      </c>
      <c r="D32" s="13">
        <v>33945.030000000028</v>
      </c>
      <c r="E32" s="13">
        <v>0</v>
      </c>
      <c r="F32" s="13">
        <v>0</v>
      </c>
      <c r="G32" s="13">
        <v>0</v>
      </c>
      <c r="H32" s="13">
        <v>121064</v>
      </c>
      <c r="I32" s="13">
        <v>0</v>
      </c>
      <c r="J32" s="13">
        <v>0</v>
      </c>
      <c r="K32" s="13">
        <v>0</v>
      </c>
      <c r="L32" s="13">
        <v>223843</v>
      </c>
      <c r="M32" s="14">
        <v>378852.03</v>
      </c>
      <c r="N32" s="15">
        <v>0</v>
      </c>
      <c r="O32" s="15">
        <v>8.9599704665697652E-2</v>
      </c>
      <c r="P32" s="16">
        <v>0</v>
      </c>
      <c r="Q32" s="16">
        <v>0</v>
      </c>
      <c r="R32" s="16">
        <v>0</v>
      </c>
      <c r="S32" s="16">
        <v>0.31955484044786558</v>
      </c>
      <c r="T32" s="16">
        <v>0</v>
      </c>
      <c r="U32" s="16">
        <v>0</v>
      </c>
      <c r="V32" s="16">
        <v>0</v>
      </c>
      <c r="W32" s="15">
        <v>0.5908454548864368</v>
      </c>
    </row>
    <row r="33" spans="1:23" x14ac:dyDescent="0.25">
      <c r="A33" s="10">
        <v>46218</v>
      </c>
      <c r="B33" s="11">
        <v>374437.1</v>
      </c>
      <c r="C33" s="13">
        <v>0</v>
      </c>
      <c r="D33" s="13">
        <v>29530.099999999977</v>
      </c>
      <c r="E33" s="13">
        <v>0</v>
      </c>
      <c r="F33" s="13">
        <v>0</v>
      </c>
      <c r="G33" s="13">
        <v>0</v>
      </c>
      <c r="H33" s="13">
        <v>121064</v>
      </c>
      <c r="I33" s="13">
        <v>0</v>
      </c>
      <c r="J33" s="13">
        <v>0</v>
      </c>
      <c r="K33" s="13">
        <v>0</v>
      </c>
      <c r="L33" s="13">
        <v>223843</v>
      </c>
      <c r="M33" s="14">
        <v>374437.1</v>
      </c>
      <c r="N33" s="15">
        <v>0</v>
      </c>
      <c r="O33" s="15">
        <v>7.8865315429480623E-2</v>
      </c>
      <c r="P33" s="16">
        <v>0</v>
      </c>
      <c r="Q33" s="16">
        <v>0</v>
      </c>
      <c r="R33" s="16">
        <v>0</v>
      </c>
      <c r="S33" s="16">
        <v>0.32332266220414591</v>
      </c>
      <c r="T33" s="16">
        <v>0</v>
      </c>
      <c r="U33" s="16">
        <v>0</v>
      </c>
      <c r="V33" s="16">
        <v>0</v>
      </c>
      <c r="W33" s="15">
        <v>0.59781202236637343</v>
      </c>
    </row>
    <row r="34" spans="1:23" x14ac:dyDescent="0.25">
      <c r="A34" s="10">
        <v>46219</v>
      </c>
      <c r="B34" s="11">
        <v>372248.26</v>
      </c>
      <c r="C34" s="13">
        <v>0</v>
      </c>
      <c r="D34" s="13">
        <v>27341.260000000009</v>
      </c>
      <c r="E34" s="13">
        <v>0</v>
      </c>
      <c r="F34" s="13">
        <v>0</v>
      </c>
      <c r="G34" s="13">
        <v>0</v>
      </c>
      <c r="H34" s="13">
        <v>121064</v>
      </c>
      <c r="I34" s="13">
        <v>0</v>
      </c>
      <c r="J34" s="13">
        <v>0</v>
      </c>
      <c r="K34" s="13">
        <v>0</v>
      </c>
      <c r="L34" s="13">
        <v>223843</v>
      </c>
      <c r="M34" s="14">
        <v>372248.26</v>
      </c>
      <c r="N34" s="15">
        <v>0</v>
      </c>
      <c r="O34" s="15">
        <v>7.3448993421755704E-2</v>
      </c>
      <c r="P34" s="16">
        <v>0</v>
      </c>
      <c r="Q34" s="16">
        <v>0</v>
      </c>
      <c r="R34" s="16">
        <v>0</v>
      </c>
      <c r="S34" s="16">
        <v>0.32522381703006481</v>
      </c>
      <c r="T34" s="16">
        <v>0</v>
      </c>
      <c r="U34" s="16">
        <v>0</v>
      </c>
      <c r="V34" s="16">
        <v>0</v>
      </c>
      <c r="W34" s="15">
        <v>0.60132718954817943</v>
      </c>
    </row>
    <row r="35" spans="1:23" x14ac:dyDescent="0.25">
      <c r="A35" s="10">
        <v>46220</v>
      </c>
      <c r="B35" s="11">
        <v>376025.4</v>
      </c>
      <c r="C35" s="13">
        <v>0</v>
      </c>
      <c r="D35" s="13">
        <v>31118.400000000023</v>
      </c>
      <c r="E35" s="13">
        <v>0</v>
      </c>
      <c r="F35" s="13">
        <v>0</v>
      </c>
      <c r="G35" s="13">
        <v>0</v>
      </c>
      <c r="H35" s="13">
        <v>121064</v>
      </c>
      <c r="I35" s="13">
        <v>0</v>
      </c>
      <c r="J35" s="13">
        <v>0</v>
      </c>
      <c r="K35" s="13">
        <v>0</v>
      </c>
      <c r="L35" s="13">
        <v>223843</v>
      </c>
      <c r="M35" s="14">
        <v>376025.4</v>
      </c>
      <c r="N35" s="15">
        <v>0</v>
      </c>
      <c r="O35" s="15">
        <v>8.2756111688199838E-2</v>
      </c>
      <c r="P35" s="16">
        <v>0</v>
      </c>
      <c r="Q35" s="16">
        <v>0</v>
      </c>
      <c r="R35" s="16">
        <v>0</v>
      </c>
      <c r="S35" s="16">
        <v>0.32195697418312696</v>
      </c>
      <c r="T35" s="16">
        <v>0</v>
      </c>
      <c r="U35" s="16">
        <v>0</v>
      </c>
      <c r="V35" s="16">
        <v>0</v>
      </c>
      <c r="W35" s="15">
        <v>0.59528691412867318</v>
      </c>
    </row>
    <row r="36" spans="1:23" x14ac:dyDescent="0.25">
      <c r="A36" s="10">
        <v>46223</v>
      </c>
      <c r="B36" s="11">
        <v>375009.72</v>
      </c>
      <c r="C36" s="13">
        <v>0</v>
      </c>
      <c r="D36" s="13">
        <v>30102.719999999972</v>
      </c>
      <c r="E36" s="13">
        <v>0</v>
      </c>
      <c r="F36" s="13">
        <v>0</v>
      </c>
      <c r="G36" s="13">
        <v>0</v>
      </c>
      <c r="H36" s="13">
        <v>121064</v>
      </c>
      <c r="I36" s="13">
        <v>0</v>
      </c>
      <c r="J36" s="13">
        <v>0</v>
      </c>
      <c r="K36" s="13">
        <v>0</v>
      </c>
      <c r="L36" s="13">
        <v>223843</v>
      </c>
      <c r="M36" s="14">
        <v>375009.72</v>
      </c>
      <c r="N36" s="15">
        <v>0</v>
      </c>
      <c r="O36" s="15">
        <v>8.0271839353923874E-2</v>
      </c>
      <c r="P36" s="16">
        <v>0</v>
      </c>
      <c r="Q36" s="16">
        <v>0</v>
      </c>
      <c r="R36" s="16">
        <v>0</v>
      </c>
      <c r="S36" s="16">
        <v>0.32282896560654484</v>
      </c>
      <c r="T36" s="16">
        <v>0</v>
      </c>
      <c r="U36" s="16">
        <v>0</v>
      </c>
      <c r="V36" s="16">
        <v>0</v>
      </c>
      <c r="W36" s="15">
        <v>0.59689919503953126</v>
      </c>
    </row>
    <row r="37" spans="1:23" x14ac:dyDescent="0.25">
      <c r="A37" s="10">
        <v>46224</v>
      </c>
      <c r="B37" s="11">
        <v>375731.28</v>
      </c>
      <c r="C37" s="13">
        <v>0</v>
      </c>
      <c r="D37" s="13">
        <v>30824.280000000028</v>
      </c>
      <c r="E37" s="13">
        <v>0</v>
      </c>
      <c r="F37" s="13">
        <v>0</v>
      </c>
      <c r="G37" s="13">
        <v>0</v>
      </c>
      <c r="H37" s="13">
        <v>121064</v>
      </c>
      <c r="I37" s="13">
        <v>0</v>
      </c>
      <c r="J37" s="13">
        <v>0</v>
      </c>
      <c r="K37" s="13">
        <v>0</v>
      </c>
      <c r="L37" s="13">
        <v>223843</v>
      </c>
      <c r="M37" s="14">
        <v>375731.28</v>
      </c>
      <c r="N37" s="15">
        <v>0</v>
      </c>
      <c r="O37" s="15">
        <v>8.2038099143622076E-2</v>
      </c>
      <c r="P37" s="16">
        <v>0</v>
      </c>
      <c r="Q37" s="16">
        <v>0</v>
      </c>
      <c r="R37" s="16">
        <v>0</v>
      </c>
      <c r="S37" s="16">
        <v>0.32220900000660047</v>
      </c>
      <c r="T37" s="16">
        <v>0</v>
      </c>
      <c r="U37" s="16">
        <v>0</v>
      </c>
      <c r="V37" s="16">
        <v>0</v>
      </c>
      <c r="W37" s="15">
        <v>0.5957529008497775</v>
      </c>
    </row>
    <row r="38" spans="1:23" x14ac:dyDescent="0.25">
      <c r="A38" s="10">
        <v>46225</v>
      </c>
      <c r="B38" s="11">
        <v>378174.99</v>
      </c>
      <c r="C38" s="13">
        <v>0</v>
      </c>
      <c r="D38" s="13">
        <v>33267.989999999991</v>
      </c>
      <c r="E38" s="13">
        <v>0</v>
      </c>
      <c r="F38" s="13">
        <v>0</v>
      </c>
      <c r="G38" s="13">
        <v>0</v>
      </c>
      <c r="H38" s="13">
        <v>121064</v>
      </c>
      <c r="I38" s="13">
        <v>0</v>
      </c>
      <c r="J38" s="13">
        <v>0</v>
      </c>
      <c r="K38" s="13">
        <v>0</v>
      </c>
      <c r="L38" s="13">
        <v>223843</v>
      </c>
      <c r="M38" s="14">
        <v>378174.99</v>
      </c>
      <c r="N38" s="15">
        <v>0</v>
      </c>
      <c r="O38" s="15">
        <v>8.79698311091381E-2</v>
      </c>
      <c r="P38" s="16">
        <v>0</v>
      </c>
      <c r="Q38" s="16">
        <v>0</v>
      </c>
      <c r="R38" s="16">
        <v>0</v>
      </c>
      <c r="S38" s="16">
        <v>0.32012693383028845</v>
      </c>
      <c r="T38" s="16">
        <v>0</v>
      </c>
      <c r="U38" s="16">
        <v>0</v>
      </c>
      <c r="V38" s="16">
        <v>0</v>
      </c>
      <c r="W38" s="15">
        <v>0.59190323506057341</v>
      </c>
    </row>
    <row r="39" spans="1:23" x14ac:dyDescent="0.25">
      <c r="A39" s="10">
        <v>46226</v>
      </c>
      <c r="B39" s="11">
        <v>380362.45</v>
      </c>
      <c r="C39" s="13">
        <v>0</v>
      </c>
      <c r="D39" s="13">
        <v>35455.450000000012</v>
      </c>
      <c r="E39" s="13">
        <v>0</v>
      </c>
      <c r="F39" s="13">
        <v>0</v>
      </c>
      <c r="G39" s="13">
        <v>0</v>
      </c>
      <c r="H39" s="13">
        <v>121064</v>
      </c>
      <c r="I39" s="13">
        <v>0</v>
      </c>
      <c r="J39" s="13">
        <v>0</v>
      </c>
      <c r="K39" s="13">
        <v>0</v>
      </c>
      <c r="L39" s="13">
        <v>223843</v>
      </c>
      <c r="M39" s="14">
        <v>380362.45</v>
      </c>
      <c r="N39" s="15">
        <v>0</v>
      </c>
      <c r="O39" s="15">
        <v>9.3214905940373474E-2</v>
      </c>
      <c r="P39" s="16">
        <v>0</v>
      </c>
      <c r="Q39" s="16">
        <v>0</v>
      </c>
      <c r="R39" s="16">
        <v>0</v>
      </c>
      <c r="S39" s="16">
        <v>0.31828588757907095</v>
      </c>
      <c r="T39" s="16">
        <v>0</v>
      </c>
      <c r="U39" s="16">
        <v>0</v>
      </c>
      <c r="V39" s="16">
        <v>0</v>
      </c>
      <c r="W39" s="15">
        <v>0.58849920648055554</v>
      </c>
    </row>
    <row r="40" spans="1:23" x14ac:dyDescent="0.25">
      <c r="A40" s="10">
        <v>46227</v>
      </c>
      <c r="B40" s="11">
        <f>B39-1740-1437</f>
        <v>377185.45</v>
      </c>
      <c r="C40" s="13">
        <v>0</v>
      </c>
      <c r="D40" s="13">
        <v>32278.450000000012</v>
      </c>
      <c r="E40" s="13">
        <v>0</v>
      </c>
      <c r="F40" s="13">
        <v>0</v>
      </c>
      <c r="G40" s="13">
        <v>0</v>
      </c>
      <c r="H40" s="13">
        <v>121064</v>
      </c>
      <c r="I40" s="13">
        <v>0</v>
      </c>
      <c r="J40" s="13">
        <v>0</v>
      </c>
      <c r="K40" s="13">
        <v>0</v>
      </c>
      <c r="L40" s="13">
        <v>223843</v>
      </c>
      <c r="M40" s="14">
        <v>377185.45</v>
      </c>
      <c r="N40" s="15">
        <v>0</v>
      </c>
      <c r="O40" s="15">
        <v>8.5577134536870422E-2</v>
      </c>
      <c r="P40" s="16">
        <v>0</v>
      </c>
      <c r="Q40" s="16">
        <v>0</v>
      </c>
      <c r="R40" s="16">
        <v>0</v>
      </c>
      <c r="S40" s="16">
        <v>0.32096678172501086</v>
      </c>
      <c r="T40" s="16">
        <v>0</v>
      </c>
      <c r="U40" s="16">
        <v>0</v>
      </c>
      <c r="V40" s="16">
        <v>0</v>
      </c>
      <c r="W40" s="15">
        <v>0.59345608373811876</v>
      </c>
    </row>
    <row r="41" spans="1:23" x14ac:dyDescent="0.25">
      <c r="A41" s="10">
        <v>46230</v>
      </c>
      <c r="B41" s="11">
        <f>B40+322+630+1019-936</f>
        <v>378220.45</v>
      </c>
      <c r="C41" s="13">
        <v>0</v>
      </c>
      <c r="D41" s="13">
        <v>33313.450000000012</v>
      </c>
      <c r="E41" s="13">
        <v>0</v>
      </c>
      <c r="F41" s="13">
        <v>0</v>
      </c>
      <c r="G41" s="13">
        <v>0</v>
      </c>
      <c r="H41" s="13">
        <v>121064</v>
      </c>
      <c r="I41" s="13">
        <v>0</v>
      </c>
      <c r="J41" s="13">
        <v>0</v>
      </c>
      <c r="K41" s="13">
        <v>0</v>
      </c>
      <c r="L41" s="13">
        <v>223843</v>
      </c>
      <c r="M41" s="14">
        <v>378220.45</v>
      </c>
      <c r="N41" s="15">
        <v>0</v>
      </c>
      <c r="O41" s="15">
        <v>8.807945207616355E-2</v>
      </c>
      <c r="P41" s="16">
        <v>0</v>
      </c>
      <c r="Q41" s="16">
        <v>0</v>
      </c>
      <c r="R41" s="16">
        <v>0</v>
      </c>
      <c r="S41" s="16">
        <v>0.32008845634867178</v>
      </c>
      <c r="T41" s="16">
        <v>0</v>
      </c>
      <c r="U41" s="16">
        <v>0</v>
      </c>
      <c r="V41" s="16">
        <v>0</v>
      </c>
      <c r="W41" s="15">
        <v>0.5918320915751647</v>
      </c>
    </row>
    <row r="42" spans="1:23" x14ac:dyDescent="0.25">
      <c r="A42" s="10">
        <v>46231</v>
      </c>
      <c r="B42" s="11">
        <f>B41-951+8872.25-771</f>
        <v>385370.7</v>
      </c>
      <c r="C42" s="19">
        <v>334624</v>
      </c>
      <c r="D42" s="18">
        <v>0</v>
      </c>
      <c r="E42" s="13">
        <v>0</v>
      </c>
      <c r="F42" s="13">
        <v>0</v>
      </c>
      <c r="G42" s="13">
        <v>0</v>
      </c>
      <c r="H42" s="13">
        <v>121064</v>
      </c>
      <c r="I42" s="13">
        <v>0</v>
      </c>
      <c r="J42" s="13">
        <v>0</v>
      </c>
      <c r="K42" s="13">
        <v>0</v>
      </c>
      <c r="L42" s="13">
        <v>223843</v>
      </c>
      <c r="M42" s="14">
        <v>679531</v>
      </c>
      <c r="N42" s="15">
        <v>0.49243375210255308</v>
      </c>
      <c r="O42" s="15">
        <v>0</v>
      </c>
      <c r="P42" s="16">
        <v>0</v>
      </c>
      <c r="Q42" s="16">
        <v>0</v>
      </c>
      <c r="R42" s="16">
        <v>0</v>
      </c>
      <c r="S42" s="16">
        <v>0.17815817085607574</v>
      </c>
      <c r="T42" s="16">
        <v>0</v>
      </c>
      <c r="U42" s="16">
        <v>0</v>
      </c>
      <c r="V42" s="16">
        <v>0</v>
      </c>
      <c r="W42" s="15">
        <v>0.32940807704137121</v>
      </c>
    </row>
    <row r="43" spans="1:23" x14ac:dyDescent="0.25">
      <c r="A43" s="10">
        <v>46232</v>
      </c>
      <c r="B43" s="11">
        <f>B42+567+1830-7720+5262</f>
        <v>385309.7</v>
      </c>
      <c r="C43" s="19">
        <v>334624</v>
      </c>
      <c r="D43" s="18">
        <v>0</v>
      </c>
      <c r="E43" s="13">
        <v>0</v>
      </c>
      <c r="F43" s="13">
        <v>0</v>
      </c>
      <c r="G43" s="13">
        <v>0</v>
      </c>
      <c r="H43" s="13">
        <v>121064</v>
      </c>
      <c r="I43" s="13">
        <v>0</v>
      </c>
      <c r="J43" s="13">
        <v>0</v>
      </c>
      <c r="K43" s="13">
        <v>0</v>
      </c>
      <c r="L43" s="13">
        <v>223843</v>
      </c>
      <c r="M43" s="14">
        <v>679531</v>
      </c>
      <c r="N43" s="15">
        <v>0.49243375210255308</v>
      </c>
      <c r="O43" s="15">
        <v>0</v>
      </c>
      <c r="P43" s="16">
        <v>0</v>
      </c>
      <c r="Q43" s="16">
        <v>0</v>
      </c>
      <c r="R43" s="16">
        <v>0</v>
      </c>
      <c r="S43" s="16">
        <v>0.17815817085607574</v>
      </c>
      <c r="T43" s="16">
        <v>0</v>
      </c>
      <c r="U43" s="16">
        <v>0</v>
      </c>
      <c r="V43" s="16">
        <v>0</v>
      </c>
      <c r="W43" s="15">
        <v>0.32940807704137121</v>
      </c>
    </row>
    <row r="44" spans="1:23" x14ac:dyDescent="0.25">
      <c r="A44" s="10">
        <v>46233</v>
      </c>
      <c r="B44" s="11">
        <f>B43+2088+840+8949-5393</f>
        <v>391793.7</v>
      </c>
      <c r="C44" s="19">
        <v>0</v>
      </c>
      <c r="D44" s="13">
        <v>46886.700000000012</v>
      </c>
      <c r="E44" s="13">
        <v>0</v>
      </c>
      <c r="F44" s="13">
        <v>0</v>
      </c>
      <c r="G44" s="13">
        <v>0</v>
      </c>
      <c r="H44" s="13">
        <v>121064</v>
      </c>
      <c r="I44" s="13">
        <v>0</v>
      </c>
      <c r="J44" s="13">
        <v>0</v>
      </c>
      <c r="K44" s="13">
        <v>0</v>
      </c>
      <c r="L44" s="13">
        <v>223843</v>
      </c>
      <c r="M44" s="14">
        <v>391793.7</v>
      </c>
      <c r="N44" s="15">
        <v>0</v>
      </c>
      <c r="O44" s="15">
        <v>0.11967190896637697</v>
      </c>
      <c r="P44" s="16">
        <v>0</v>
      </c>
      <c r="Q44" s="16">
        <v>0</v>
      </c>
      <c r="R44" s="16">
        <v>0</v>
      </c>
      <c r="S44" s="16">
        <v>0.30899935348628627</v>
      </c>
      <c r="T44" s="16">
        <v>0</v>
      </c>
      <c r="U44" s="16">
        <v>0</v>
      </c>
      <c r="V44" s="16">
        <v>0</v>
      </c>
      <c r="W44" s="15">
        <v>0.57132873754733671</v>
      </c>
    </row>
    <row r="45" spans="1:23" x14ac:dyDescent="0.25">
      <c r="A45" s="10">
        <v>46234</v>
      </c>
      <c r="B45" s="11">
        <f>B44-480-2572</f>
        <v>388741.7</v>
      </c>
      <c r="C45" s="19">
        <v>0</v>
      </c>
      <c r="D45" s="13">
        <v>43834.700000000012</v>
      </c>
      <c r="E45" s="13">
        <v>0</v>
      </c>
      <c r="F45" s="13">
        <v>0</v>
      </c>
      <c r="G45" s="13">
        <v>0</v>
      </c>
      <c r="H45" s="13">
        <v>121064</v>
      </c>
      <c r="I45" s="13">
        <v>0</v>
      </c>
      <c r="J45" s="13">
        <v>0</v>
      </c>
      <c r="K45" s="13">
        <v>0</v>
      </c>
      <c r="L45" s="13">
        <v>223843</v>
      </c>
      <c r="M45" s="14">
        <v>388741.7</v>
      </c>
      <c r="N45" s="15">
        <v>0</v>
      </c>
      <c r="O45" s="15">
        <v>0.11276047823014616</v>
      </c>
      <c r="P45" s="16">
        <v>0</v>
      </c>
      <c r="Q45" s="16">
        <v>0</v>
      </c>
      <c r="R45" s="16">
        <v>0</v>
      </c>
      <c r="S45" s="16">
        <v>0.3114252985980151</v>
      </c>
      <c r="T45" s="16">
        <v>0</v>
      </c>
      <c r="U45" s="16">
        <v>0</v>
      </c>
      <c r="V45" s="16">
        <v>0</v>
      </c>
      <c r="W45" s="15">
        <v>0.57581422317183872</v>
      </c>
    </row>
    <row r="46" spans="1:23" x14ac:dyDescent="0.25">
      <c r="A46" s="10">
        <v>46237</v>
      </c>
      <c r="B46" s="11">
        <f>B45-3000-427</f>
        <v>385314.7</v>
      </c>
      <c r="C46" s="19">
        <v>0</v>
      </c>
      <c r="D46" s="13">
        <v>40407.700000000012</v>
      </c>
      <c r="E46" s="13">
        <v>0</v>
      </c>
      <c r="F46" s="13">
        <v>0</v>
      </c>
      <c r="G46" s="13">
        <v>0</v>
      </c>
      <c r="H46" s="13">
        <v>121064</v>
      </c>
      <c r="I46" s="13">
        <v>0</v>
      </c>
      <c r="J46" s="13">
        <v>0</v>
      </c>
      <c r="K46" s="13">
        <v>0</v>
      </c>
      <c r="L46" s="13">
        <v>223843</v>
      </c>
      <c r="M46" s="14">
        <v>385314.7</v>
      </c>
      <c r="N46" s="15">
        <v>0</v>
      </c>
      <c r="O46" s="15">
        <v>0.10486934446051503</v>
      </c>
      <c r="P46" s="16">
        <v>0</v>
      </c>
      <c r="Q46" s="16">
        <v>0</v>
      </c>
      <c r="R46" s="16">
        <v>0</v>
      </c>
      <c r="S46" s="16">
        <v>0.31419512414138362</v>
      </c>
      <c r="T46" s="16">
        <v>0</v>
      </c>
      <c r="U46" s="16">
        <v>0</v>
      </c>
      <c r="V46" s="16">
        <v>0</v>
      </c>
      <c r="W46" s="15">
        <v>0.58093553139810128</v>
      </c>
    </row>
    <row r="47" spans="1:23" x14ac:dyDescent="0.25">
      <c r="A47" s="10">
        <v>46238</v>
      </c>
      <c r="B47" s="11">
        <f>B46-2340+453</f>
        <v>383427.7</v>
      </c>
      <c r="C47" s="19">
        <v>0</v>
      </c>
      <c r="D47" s="13">
        <v>38520.700000000012</v>
      </c>
      <c r="E47" s="13">
        <v>0</v>
      </c>
      <c r="F47" s="13">
        <v>0</v>
      </c>
      <c r="G47" s="13">
        <v>0</v>
      </c>
      <c r="H47" s="13">
        <v>121064</v>
      </c>
      <c r="I47" s="13">
        <v>0</v>
      </c>
      <c r="J47" s="13">
        <v>0</v>
      </c>
      <c r="K47" s="13">
        <v>0</v>
      </c>
      <c r="L47" s="13">
        <v>223843</v>
      </c>
      <c r="M47" s="14">
        <v>383427.7</v>
      </c>
      <c r="N47" s="15">
        <v>0</v>
      </c>
      <c r="O47" s="15">
        <v>0.1004640509801457</v>
      </c>
      <c r="P47" s="16">
        <v>0</v>
      </c>
      <c r="Q47" s="16">
        <v>0</v>
      </c>
      <c r="R47" s="16">
        <v>0</v>
      </c>
      <c r="S47" s="16">
        <v>0.31574140313806226</v>
      </c>
      <c r="T47" s="16">
        <v>0</v>
      </c>
      <c r="U47" s="16">
        <v>0</v>
      </c>
      <c r="V47" s="16">
        <v>0</v>
      </c>
      <c r="W47" s="15">
        <v>0.58379454588179203</v>
      </c>
    </row>
    <row r="48" spans="1:23" x14ac:dyDescent="0.25">
      <c r="A48" s="10">
        <v>46239</v>
      </c>
      <c r="B48" s="11">
        <f>B47+1500-3275</f>
        <v>381652.7</v>
      </c>
      <c r="C48" s="19">
        <v>0</v>
      </c>
      <c r="D48" s="13">
        <v>36745.700000000012</v>
      </c>
      <c r="E48" s="13">
        <v>0</v>
      </c>
      <c r="F48" s="13">
        <v>0</v>
      </c>
      <c r="G48" s="13">
        <v>0</v>
      </c>
      <c r="H48" s="13">
        <v>121064</v>
      </c>
      <c r="I48" s="13">
        <v>0</v>
      </c>
      <c r="J48" s="13">
        <v>0</v>
      </c>
      <c r="K48" s="13">
        <v>0</v>
      </c>
      <c r="L48" s="13">
        <v>223843</v>
      </c>
      <c r="M48" s="14">
        <v>381652.7</v>
      </c>
      <c r="N48" s="15">
        <v>0</v>
      </c>
      <c r="O48" s="15">
        <v>9.6280466507901064E-2</v>
      </c>
      <c r="P48" s="16">
        <v>0</v>
      </c>
      <c r="Q48" s="16">
        <v>0</v>
      </c>
      <c r="R48" s="16">
        <v>0</v>
      </c>
      <c r="S48" s="16">
        <v>0.31720986121675543</v>
      </c>
      <c r="T48" s="16">
        <v>0</v>
      </c>
      <c r="U48" s="16">
        <v>0</v>
      </c>
      <c r="V48" s="16">
        <v>0</v>
      </c>
      <c r="W48" s="15">
        <v>0.58650967227534356</v>
      </c>
    </row>
    <row r="49" spans="1:23" x14ac:dyDescent="0.25">
      <c r="A49" s="10">
        <v>46240</v>
      </c>
      <c r="B49" s="11">
        <f>B48+2550-1004</f>
        <v>383198.7</v>
      </c>
      <c r="C49" s="19">
        <v>0</v>
      </c>
      <c r="D49" s="13">
        <v>38291.700000000012</v>
      </c>
      <c r="E49" s="13">
        <v>0</v>
      </c>
      <c r="F49" s="13">
        <v>0</v>
      </c>
      <c r="G49" s="13">
        <v>0</v>
      </c>
      <c r="H49" s="13">
        <v>121064</v>
      </c>
      <c r="I49" s="13">
        <v>0</v>
      </c>
      <c r="J49" s="13">
        <v>0</v>
      </c>
      <c r="K49" s="13">
        <v>0</v>
      </c>
      <c r="L49" s="13">
        <v>223843</v>
      </c>
      <c r="M49" s="14">
        <v>383198.7</v>
      </c>
      <c r="N49" s="15">
        <v>0</v>
      </c>
      <c r="O49" s="15">
        <v>9.9926487224513055E-2</v>
      </c>
      <c r="P49" s="16">
        <v>0</v>
      </c>
      <c r="Q49" s="16">
        <v>0</v>
      </c>
      <c r="R49" s="16">
        <v>0</v>
      </c>
      <c r="S49" s="16">
        <v>0.31593009057702959</v>
      </c>
      <c r="T49" s="16">
        <v>0</v>
      </c>
      <c r="U49" s="16">
        <v>0</v>
      </c>
      <c r="V49" s="16">
        <v>0</v>
      </c>
      <c r="W49" s="15">
        <v>0.58414342219845738</v>
      </c>
    </row>
    <row r="50" spans="1:23" x14ac:dyDescent="0.25">
      <c r="A50" s="10">
        <v>46241</v>
      </c>
      <c r="B50" s="11">
        <f>B49+840+738</f>
        <v>384776.7</v>
      </c>
      <c r="C50" s="19">
        <v>0</v>
      </c>
      <c r="D50" s="13">
        <v>39869.700000000012</v>
      </c>
      <c r="E50" s="13">
        <v>0</v>
      </c>
      <c r="F50" s="13">
        <v>0</v>
      </c>
      <c r="G50" s="13">
        <v>0</v>
      </c>
      <c r="H50" s="13">
        <v>121064</v>
      </c>
      <c r="I50" s="13">
        <v>0</v>
      </c>
      <c r="J50" s="13">
        <v>0</v>
      </c>
      <c r="K50" s="13">
        <v>0</v>
      </c>
      <c r="L50" s="13">
        <v>223843</v>
      </c>
      <c r="M50" s="14">
        <v>384776.7</v>
      </c>
      <c r="N50" s="15">
        <v>0</v>
      </c>
      <c r="O50" s="15">
        <v>0.10361776063883289</v>
      </c>
      <c r="P50" s="16">
        <v>0</v>
      </c>
      <c r="Q50" s="16">
        <v>0</v>
      </c>
      <c r="R50" s="16">
        <v>0</v>
      </c>
      <c r="S50" s="16">
        <v>0.31463443602484248</v>
      </c>
      <c r="T50" s="16">
        <v>0</v>
      </c>
      <c r="U50" s="16">
        <v>0</v>
      </c>
      <c r="V50" s="16">
        <v>0</v>
      </c>
      <c r="W50" s="15">
        <v>0.5817478033363247</v>
      </c>
    </row>
    <row r="51" spans="1:23" x14ac:dyDescent="0.25">
      <c r="A51" s="10">
        <v>46244</v>
      </c>
      <c r="B51" s="11">
        <f>B50+41+540-398-50</f>
        <v>384909.7</v>
      </c>
      <c r="C51" s="19">
        <v>0</v>
      </c>
      <c r="D51" s="13">
        <v>24412.700000000012</v>
      </c>
      <c r="E51" s="13">
        <v>0</v>
      </c>
      <c r="F51" s="13">
        <v>0</v>
      </c>
      <c r="G51" s="13">
        <v>0</v>
      </c>
      <c r="H51" s="13">
        <v>121064</v>
      </c>
      <c r="I51" s="13">
        <v>185382</v>
      </c>
      <c r="J51" s="13">
        <v>0</v>
      </c>
      <c r="K51" s="13">
        <v>0</v>
      </c>
      <c r="L51" s="18">
        <v>54051</v>
      </c>
      <c r="M51" s="14">
        <v>384909.7</v>
      </c>
      <c r="N51" s="15">
        <v>0</v>
      </c>
      <c r="O51" s="15">
        <v>6.342448631458239E-2</v>
      </c>
      <c r="P51" s="16">
        <v>0</v>
      </c>
      <c r="Q51" s="16">
        <v>0</v>
      </c>
      <c r="R51" s="16">
        <v>0</v>
      </c>
      <c r="S51" s="16">
        <v>0.31452571862959028</v>
      </c>
      <c r="T51" s="16">
        <v>0.48162465118442066</v>
      </c>
      <c r="U51" s="16">
        <v>0</v>
      </c>
      <c r="V51" s="16">
        <v>0</v>
      </c>
      <c r="W51" s="15">
        <v>0.14042514387140673</v>
      </c>
    </row>
    <row r="52" spans="1:23" x14ac:dyDescent="0.25">
      <c r="A52" s="10">
        <v>46245</v>
      </c>
      <c r="B52" s="11">
        <f>B51-40-2340-824-1009-1010</f>
        <v>379686.7</v>
      </c>
      <c r="C52" s="19">
        <v>0</v>
      </c>
      <c r="D52" s="13">
        <v>19189.700000000012</v>
      </c>
      <c r="E52" s="13">
        <v>0</v>
      </c>
      <c r="F52" s="13">
        <v>0</v>
      </c>
      <c r="G52" s="13">
        <v>0</v>
      </c>
      <c r="H52" s="13">
        <v>121064</v>
      </c>
      <c r="I52" s="13">
        <v>185382</v>
      </c>
      <c r="J52" s="13">
        <v>0</v>
      </c>
      <c r="K52" s="13">
        <v>0</v>
      </c>
      <c r="L52" s="18">
        <v>54051</v>
      </c>
      <c r="M52" s="14">
        <v>379686.7</v>
      </c>
      <c r="N52" s="15">
        <v>0</v>
      </c>
      <c r="O52" s="15">
        <v>5.0540880151977961E-2</v>
      </c>
      <c r="P52" s="16">
        <v>0</v>
      </c>
      <c r="Q52" s="16">
        <v>0</v>
      </c>
      <c r="R52" s="16">
        <v>0</v>
      </c>
      <c r="S52" s="16">
        <v>0.31885235906340675</v>
      </c>
      <c r="T52" s="16">
        <v>0.48824991762945608</v>
      </c>
      <c r="U52" s="16">
        <v>0</v>
      </c>
      <c r="V52" s="16">
        <v>0</v>
      </c>
      <c r="W52" s="15">
        <v>0.14235684315515923</v>
      </c>
    </row>
    <row r="53" spans="1:23" x14ac:dyDescent="0.25">
      <c r="A53" s="10">
        <v>46246</v>
      </c>
      <c r="B53" s="11">
        <f>B52-205-1710-410+2950-212+6683-2764-240</f>
        <v>383778.7</v>
      </c>
      <c r="C53" s="19">
        <v>0</v>
      </c>
      <c r="D53" s="18">
        <v>0</v>
      </c>
      <c r="E53" s="13">
        <v>0</v>
      </c>
      <c r="F53" s="13">
        <v>0</v>
      </c>
      <c r="G53" s="13">
        <v>182705</v>
      </c>
      <c r="H53" s="13">
        <v>121064</v>
      </c>
      <c r="I53" s="13">
        <v>154290</v>
      </c>
      <c r="J53" s="13">
        <v>0</v>
      </c>
      <c r="K53" s="13">
        <v>0</v>
      </c>
      <c r="L53" s="18">
        <v>218671</v>
      </c>
      <c r="M53" s="14">
        <f>SUM(C53:L53)</f>
        <v>676730</v>
      </c>
      <c r="N53" s="15">
        <v>0</v>
      </c>
      <c r="O53" s="15">
        <v>0</v>
      </c>
      <c r="P53" s="16">
        <v>0</v>
      </c>
      <c r="Q53" s="16">
        <v>0</v>
      </c>
      <c r="R53" s="16">
        <f>G53/M53</f>
        <v>0.2699821199001079</v>
      </c>
      <c r="S53" s="16">
        <f>H53/M53</f>
        <v>0.17889557135046474</v>
      </c>
      <c r="T53" s="16">
        <f>I53/M53</f>
        <v>0.22799343903772554</v>
      </c>
      <c r="U53" s="16">
        <v>0</v>
      </c>
      <c r="V53" s="16">
        <v>0</v>
      </c>
      <c r="W53" s="15">
        <f>L53/M53</f>
        <v>0.32312886971170185</v>
      </c>
    </row>
    <row r="54" spans="1:23" x14ac:dyDescent="0.25">
      <c r="A54" s="10">
        <v>46247</v>
      </c>
      <c r="B54" s="11">
        <f>B53-95-1110+960-1500-1040+875+120</f>
        <v>381988.7</v>
      </c>
      <c r="C54" s="19">
        <v>0</v>
      </c>
      <c r="D54" s="18">
        <v>0</v>
      </c>
      <c r="E54" s="13">
        <v>0</v>
      </c>
      <c r="F54" s="13">
        <v>0</v>
      </c>
      <c r="G54" s="13">
        <v>0</v>
      </c>
      <c r="H54" s="13">
        <v>121064</v>
      </c>
      <c r="I54" s="13">
        <v>154290</v>
      </c>
      <c r="J54" s="13">
        <v>0</v>
      </c>
      <c r="K54" s="13">
        <v>0</v>
      </c>
      <c r="L54" s="18">
        <v>218671</v>
      </c>
      <c r="M54" s="14">
        <v>494025</v>
      </c>
      <c r="N54" s="15">
        <v>0</v>
      </c>
      <c r="O54" s="15">
        <v>0</v>
      </c>
      <c r="P54" s="16">
        <v>0</v>
      </c>
      <c r="Q54" s="16">
        <v>0</v>
      </c>
      <c r="R54" s="16">
        <v>0</v>
      </c>
      <c r="S54" s="16">
        <v>0.24505642427002683</v>
      </c>
      <c r="T54" s="16">
        <v>0.31231212995293761</v>
      </c>
      <c r="U54" s="16">
        <v>0</v>
      </c>
      <c r="V54" s="16">
        <v>0</v>
      </c>
      <c r="W54" s="15">
        <v>0.44263144577703556</v>
      </c>
    </row>
    <row r="55" spans="1:23" x14ac:dyDescent="0.25">
      <c r="A55" s="10">
        <v>46248</v>
      </c>
      <c r="B55" s="11">
        <f>B54+25-540-1100-7593+350-1166-690</f>
        <v>371274.7</v>
      </c>
      <c r="C55" s="19">
        <v>0</v>
      </c>
      <c r="D55" s="18">
        <v>0</v>
      </c>
      <c r="E55" s="13">
        <v>0</v>
      </c>
      <c r="F55" s="13">
        <v>0</v>
      </c>
      <c r="G55" s="13">
        <v>0</v>
      </c>
      <c r="H55" s="13">
        <v>121064</v>
      </c>
      <c r="I55" s="13">
        <v>154290</v>
      </c>
      <c r="J55" s="13">
        <v>0</v>
      </c>
      <c r="K55" s="13">
        <v>0</v>
      </c>
      <c r="L55" s="18">
        <v>218671</v>
      </c>
      <c r="M55" s="14">
        <v>494025</v>
      </c>
      <c r="N55" s="15">
        <v>0</v>
      </c>
      <c r="O55" s="15">
        <v>0</v>
      </c>
      <c r="P55" s="16">
        <v>0</v>
      </c>
      <c r="Q55" s="16">
        <v>0</v>
      </c>
      <c r="R55" s="16">
        <v>0</v>
      </c>
      <c r="S55" s="16">
        <v>0.24505642427002683</v>
      </c>
      <c r="T55" s="16">
        <v>0.31231212995293761</v>
      </c>
      <c r="U55" s="16">
        <v>0</v>
      </c>
      <c r="V55" s="16">
        <v>0</v>
      </c>
      <c r="W55" s="15">
        <v>0.44263144577703556</v>
      </c>
    </row>
    <row r="56" spans="1:23" x14ac:dyDescent="0.25">
      <c r="A56" s="10">
        <v>46251</v>
      </c>
      <c r="B56" s="11">
        <f>B55+95+1620-1380+725+796+220</f>
        <v>373350.7</v>
      </c>
      <c r="C56" s="19">
        <v>0</v>
      </c>
      <c r="D56" s="18">
        <v>0</v>
      </c>
      <c r="E56" s="13">
        <v>0</v>
      </c>
      <c r="F56" s="13">
        <v>0</v>
      </c>
      <c r="G56" s="13">
        <v>0</v>
      </c>
      <c r="H56" s="13">
        <v>121064</v>
      </c>
      <c r="I56" s="13">
        <v>154290</v>
      </c>
      <c r="J56" s="13">
        <v>0</v>
      </c>
      <c r="K56" s="13">
        <v>0</v>
      </c>
      <c r="L56" s="18">
        <v>218671</v>
      </c>
      <c r="M56" s="14">
        <v>494025</v>
      </c>
      <c r="N56" s="15">
        <v>0</v>
      </c>
      <c r="O56" s="15">
        <v>0</v>
      </c>
      <c r="P56" s="16">
        <v>0</v>
      </c>
      <c r="Q56" s="16">
        <v>0</v>
      </c>
      <c r="R56" s="16">
        <v>0</v>
      </c>
      <c r="S56" s="16">
        <v>0.24505642427002683</v>
      </c>
      <c r="T56" s="16">
        <v>0.31231212995293761</v>
      </c>
      <c r="U56" s="16">
        <v>0</v>
      </c>
      <c r="V56" s="16">
        <v>0</v>
      </c>
      <c r="W56" s="15">
        <v>0.44263144577703556</v>
      </c>
    </row>
    <row r="57" spans="1:23" x14ac:dyDescent="0.25">
      <c r="A57" s="10">
        <v>46252</v>
      </c>
      <c r="B57" s="11">
        <f>B56+590+1620+620+1095+826+2690</f>
        <v>380791.7</v>
      </c>
      <c r="C57" s="19">
        <v>0</v>
      </c>
      <c r="D57" s="18">
        <v>0</v>
      </c>
      <c r="E57" s="13">
        <v>0</v>
      </c>
      <c r="F57" s="13">
        <v>0</v>
      </c>
      <c r="G57" s="13">
        <v>0</v>
      </c>
      <c r="H57" s="13">
        <v>121064</v>
      </c>
      <c r="I57" s="13">
        <v>154290</v>
      </c>
      <c r="J57" s="13">
        <v>0</v>
      </c>
      <c r="K57" s="13">
        <v>0</v>
      </c>
      <c r="L57" s="18">
        <v>218671</v>
      </c>
      <c r="M57" s="14">
        <v>494025</v>
      </c>
      <c r="N57" s="15">
        <v>0</v>
      </c>
      <c r="O57" s="15">
        <v>0</v>
      </c>
      <c r="P57" s="16">
        <v>0</v>
      </c>
      <c r="Q57" s="16">
        <v>0</v>
      </c>
      <c r="R57" s="16">
        <v>0</v>
      </c>
      <c r="S57" s="16">
        <v>0.24505642427002683</v>
      </c>
      <c r="T57" s="16">
        <v>0.31231212995293761</v>
      </c>
      <c r="U57" s="16">
        <v>0</v>
      </c>
      <c r="V57" s="16">
        <v>0</v>
      </c>
      <c r="W57" s="15">
        <v>0.44263144577703556</v>
      </c>
    </row>
    <row r="58" spans="1:23" x14ac:dyDescent="0.25">
      <c r="A58" s="10">
        <v>46253</v>
      </c>
      <c r="B58" s="11">
        <f>B57-195+5550+2720-300-3504+1730</f>
        <v>386792.7</v>
      </c>
      <c r="C58" s="19">
        <v>0</v>
      </c>
      <c r="D58" s="18">
        <v>0</v>
      </c>
      <c r="E58" s="13">
        <v>0</v>
      </c>
      <c r="F58" s="13">
        <v>0</v>
      </c>
      <c r="G58" s="13">
        <v>0</v>
      </c>
      <c r="H58" s="13">
        <v>121064</v>
      </c>
      <c r="I58" s="13">
        <v>154290</v>
      </c>
      <c r="J58" s="13">
        <v>0</v>
      </c>
      <c r="K58" s="13">
        <v>0</v>
      </c>
      <c r="L58" s="18">
        <v>218671</v>
      </c>
      <c r="M58" s="14">
        <v>494025</v>
      </c>
      <c r="N58" s="15">
        <v>0</v>
      </c>
      <c r="O58" s="15">
        <v>0</v>
      </c>
      <c r="P58" s="16">
        <v>0</v>
      </c>
      <c r="Q58" s="16">
        <v>0</v>
      </c>
      <c r="R58" s="16">
        <v>0</v>
      </c>
      <c r="S58" s="16">
        <v>0.24505642427002683</v>
      </c>
      <c r="T58" s="16">
        <v>0.31231212995293761</v>
      </c>
      <c r="U58" s="16">
        <v>0</v>
      </c>
      <c r="V58" s="16">
        <v>0</v>
      </c>
      <c r="W58" s="15">
        <v>0.44263144577703556</v>
      </c>
    </row>
    <row r="59" spans="1:23" x14ac:dyDescent="0.25">
      <c r="A59" s="10">
        <v>46254</v>
      </c>
      <c r="B59" s="11">
        <f>B58+155+870-1360+1107.05+1330+1165.8+1267.76</f>
        <v>391328.31</v>
      </c>
      <c r="C59" s="19">
        <v>0</v>
      </c>
      <c r="D59" s="18">
        <v>0</v>
      </c>
      <c r="E59" s="13">
        <v>1451000</v>
      </c>
      <c r="F59" s="13">
        <v>0</v>
      </c>
      <c r="G59" s="13">
        <v>0</v>
      </c>
      <c r="H59" s="13">
        <v>121064</v>
      </c>
      <c r="I59" s="13">
        <v>154290</v>
      </c>
      <c r="J59" s="13">
        <v>0</v>
      </c>
      <c r="K59" s="13">
        <v>0</v>
      </c>
      <c r="L59" s="18">
        <v>218671</v>
      </c>
      <c r="M59" s="14">
        <f>SUM(C59:L59)</f>
        <v>1945025</v>
      </c>
      <c r="N59" s="15">
        <v>0</v>
      </c>
      <c r="O59" s="15">
        <v>0</v>
      </c>
      <c r="P59" s="16">
        <v>0</v>
      </c>
      <c r="Q59" s="16">
        <f>E59/M59</f>
        <v>0.7460058354005733</v>
      </c>
      <c r="R59" s="16">
        <v>0</v>
      </c>
      <c r="S59" s="16">
        <f>H59/M59</f>
        <v>6.2242901762188149E-2</v>
      </c>
      <c r="T59" s="16">
        <f>I59/M59</f>
        <v>7.9325458541663993E-2</v>
      </c>
      <c r="U59" s="16">
        <v>0</v>
      </c>
      <c r="V59" s="16">
        <v>0</v>
      </c>
      <c r="W59" s="15">
        <f>L59/M59</f>
        <v>0.11242580429557461</v>
      </c>
    </row>
    <row r="60" spans="1:23" x14ac:dyDescent="0.25">
      <c r="A60" s="10">
        <v>46255</v>
      </c>
      <c r="B60" s="11">
        <f>B59-445-450-580+585-575-2123</f>
        <v>387740.31</v>
      </c>
      <c r="C60" s="19">
        <v>0</v>
      </c>
      <c r="D60" s="18">
        <v>0</v>
      </c>
      <c r="E60" s="13">
        <v>436235</v>
      </c>
      <c r="F60" s="13">
        <v>0</v>
      </c>
      <c r="G60" s="13">
        <v>0</v>
      </c>
      <c r="H60" s="13">
        <v>121064</v>
      </c>
      <c r="I60" s="13">
        <v>154290</v>
      </c>
      <c r="J60" s="13">
        <v>0</v>
      </c>
      <c r="K60" s="13">
        <v>0</v>
      </c>
      <c r="L60" s="18">
        <v>218671</v>
      </c>
      <c r="M60" s="14">
        <v>930260</v>
      </c>
      <c r="N60" s="15">
        <v>0</v>
      </c>
      <c r="O60" s="15">
        <v>0</v>
      </c>
      <c r="P60" s="16">
        <v>0</v>
      </c>
      <c r="Q60" s="16">
        <v>0.46893879130565647</v>
      </c>
      <c r="R60" s="16">
        <v>0</v>
      </c>
      <c r="S60" s="16">
        <v>0.13013996087115431</v>
      </c>
      <c r="T60" s="16">
        <v>0.16585685722271193</v>
      </c>
      <c r="U60" s="16">
        <v>0</v>
      </c>
      <c r="V60" s="16">
        <v>0</v>
      </c>
      <c r="W60" s="15">
        <v>0.23506439060047729</v>
      </c>
    </row>
    <row r="61" spans="1:23" x14ac:dyDescent="0.25">
      <c r="A61" s="10">
        <v>46258</v>
      </c>
      <c r="B61" s="11">
        <f>B60+105+300+3482+1020+1095+430-311</f>
        <v>393861.31</v>
      </c>
      <c r="C61" s="13">
        <v>133338</v>
      </c>
      <c r="D61" s="18">
        <v>0</v>
      </c>
      <c r="E61" s="13">
        <v>436235</v>
      </c>
      <c r="F61" s="13">
        <v>141200</v>
      </c>
      <c r="G61" s="13">
        <v>0</v>
      </c>
      <c r="H61" s="13">
        <v>121064</v>
      </c>
      <c r="I61" s="13">
        <v>154290</v>
      </c>
      <c r="J61" s="13">
        <v>0</v>
      </c>
      <c r="K61" s="13">
        <v>0</v>
      </c>
      <c r="L61" s="18">
        <v>218671</v>
      </c>
      <c r="M61" s="14">
        <f>SUM(C61:L61)</f>
        <v>1204798</v>
      </c>
      <c r="N61" s="15">
        <f>C61/M61</f>
        <v>0.11067249447625245</v>
      </c>
      <c r="O61" s="15">
        <v>0</v>
      </c>
      <c r="P61" s="16">
        <f>F61/M61</f>
        <v>0.11719806971791122</v>
      </c>
      <c r="Q61" s="16">
        <f>E61/M61</f>
        <v>0.36208144435830736</v>
      </c>
      <c r="R61" s="16">
        <v>0</v>
      </c>
      <c r="S61" s="16">
        <f>H61/M61</f>
        <v>0.10048489456323799</v>
      </c>
      <c r="T61" s="16">
        <f>I61/M61</f>
        <v>0.12806296159190173</v>
      </c>
      <c r="U61" s="16">
        <v>0</v>
      </c>
      <c r="V61" s="16">
        <v>0</v>
      </c>
      <c r="W61" s="15">
        <f>L61/M61</f>
        <v>0.18150013529238926</v>
      </c>
    </row>
    <row r="62" spans="1:23" x14ac:dyDescent="0.25">
      <c r="A62" s="10">
        <v>46259</v>
      </c>
      <c r="B62" s="11">
        <f>B61-390+1290+906-402+1017</f>
        <v>396282.31</v>
      </c>
      <c r="C62" s="19">
        <v>0</v>
      </c>
      <c r="D62" s="13">
        <v>341611.31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8">
        <v>54671</v>
      </c>
      <c r="M62" s="14">
        <v>396282.31</v>
      </c>
      <c r="N62" s="15">
        <v>0</v>
      </c>
      <c r="O62" s="15">
        <v>0.86204027123996529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5">
        <v>0.13795972876003473</v>
      </c>
    </row>
    <row r="63" spans="1:23" x14ac:dyDescent="0.25">
      <c r="A63" s="10">
        <v>46260</v>
      </c>
      <c r="B63" s="11">
        <f>B62+270-750</f>
        <v>395802.31</v>
      </c>
      <c r="C63" s="19">
        <v>0</v>
      </c>
      <c r="D63" s="13">
        <v>341131.31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8">
        <v>54671</v>
      </c>
      <c r="M63" s="14">
        <v>395802.31</v>
      </c>
      <c r="N63" s="15">
        <v>0</v>
      </c>
      <c r="O63" s="15">
        <v>0.86187296380357159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5">
        <v>0.13812703619642847</v>
      </c>
    </row>
    <row r="64" spans="1:23" x14ac:dyDescent="0.25">
      <c r="A64" s="10">
        <v>46261</v>
      </c>
      <c r="B64" s="11">
        <f>B63+125+690</f>
        <v>396617.31</v>
      </c>
      <c r="C64" s="19">
        <v>0</v>
      </c>
      <c r="D64" s="13">
        <v>341946.31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8">
        <v>54671</v>
      </c>
      <c r="M64" s="14">
        <v>396617.31</v>
      </c>
      <c r="N64" s="15">
        <v>0</v>
      </c>
      <c r="O64" s="15">
        <v>0.8621567979471193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5">
        <v>0.13784320205288064</v>
      </c>
    </row>
    <row r="65" spans="1:23" x14ac:dyDescent="0.25">
      <c r="A65" s="10">
        <v>46262</v>
      </c>
      <c r="B65" s="11">
        <f>B64+300</f>
        <v>396917.31</v>
      </c>
      <c r="C65" s="19">
        <v>0</v>
      </c>
      <c r="D65" s="13">
        <v>342246.31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8">
        <v>54671</v>
      </c>
      <c r="M65" s="14">
        <v>396917.31</v>
      </c>
      <c r="N65" s="15">
        <v>0</v>
      </c>
      <c r="O65" s="15">
        <v>0.86226098327634038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5">
        <v>0.13773901672365965</v>
      </c>
    </row>
    <row r="66" spans="1:23" x14ac:dyDescent="0.25">
      <c r="A66" s="10">
        <v>46265</v>
      </c>
      <c r="B66" s="11">
        <f>B65+135+2220-2.59</f>
        <v>399269.72</v>
      </c>
      <c r="C66" s="19">
        <v>59799</v>
      </c>
      <c r="D66" s="13">
        <v>284799.71999999997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8">
        <v>54671</v>
      </c>
      <c r="M66" s="14">
        <v>399269.72</v>
      </c>
      <c r="N66" s="15">
        <v>0.14977093679931452</v>
      </c>
      <c r="O66" s="15">
        <v>0.71330157468490218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5">
        <v>0.13692748851578326</v>
      </c>
    </row>
    <row r="67" spans="1:23" x14ac:dyDescent="0.25">
      <c r="A67" s="10">
        <v>46266</v>
      </c>
      <c r="B67" s="11">
        <f>B66+480-562+1405-1361-623+1800+428</f>
        <v>400836.72</v>
      </c>
      <c r="C67" s="19">
        <v>871422</v>
      </c>
      <c r="D67" s="18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8">
        <v>54671</v>
      </c>
      <c r="M67" s="14">
        <v>926093</v>
      </c>
      <c r="N67" s="15">
        <v>0.94096597209999433</v>
      </c>
      <c r="O67" s="15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5">
        <v>5.9034027900005726E-2</v>
      </c>
    </row>
    <row r="68" spans="1:23" x14ac:dyDescent="0.25">
      <c r="A68" s="10">
        <v>46267</v>
      </c>
      <c r="B68" s="11">
        <f>B67-274+71-569+1738+320</f>
        <v>402122.72</v>
      </c>
      <c r="C68" s="19">
        <v>739422</v>
      </c>
      <c r="D68" s="18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8">
        <v>54671</v>
      </c>
      <c r="M68" s="14">
        <v>794093</v>
      </c>
      <c r="N68" s="15">
        <v>0.93115290022705144</v>
      </c>
      <c r="O68" s="15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5">
        <v>6.8847099772948506E-2</v>
      </c>
    </row>
    <row r="69" spans="1:23" x14ac:dyDescent="0.25">
      <c r="A69" s="10">
        <v>46268</v>
      </c>
      <c r="B69" s="11">
        <v>407651</v>
      </c>
      <c r="C69" s="19">
        <v>101060</v>
      </c>
      <c r="D69" s="13">
        <f>B69-C69</f>
        <v>306591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8">
        <v>0</v>
      </c>
      <c r="M69" s="14">
        <f t="shared" ref="M69:M100" si="0">SUM(C69:L69)</f>
        <v>407651</v>
      </c>
      <c r="N69" s="15">
        <v>0.25051515991027662</v>
      </c>
      <c r="O69" s="15">
        <v>0.74948484008972338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5">
        <v>0</v>
      </c>
    </row>
    <row r="70" spans="1:23" x14ac:dyDescent="0.25">
      <c r="A70" s="10">
        <v>46269</v>
      </c>
      <c r="B70" s="11">
        <v>408551</v>
      </c>
      <c r="C70" s="19">
        <v>101060</v>
      </c>
      <c r="D70" s="13">
        <f>B70-C70</f>
        <v>307491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8">
        <v>0</v>
      </c>
      <c r="M70" s="14">
        <f t="shared" si="0"/>
        <v>408551</v>
      </c>
      <c r="N70" s="15">
        <f t="shared" ref="N70:N75" si="1">C70/M70</f>
        <v>0.24736201845057287</v>
      </c>
      <c r="O70" s="15">
        <f t="shared" ref="O70:O75" si="2">D70/M70</f>
        <v>0.75263798154942707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5">
        <v>0</v>
      </c>
    </row>
    <row r="71" spans="1:23" x14ac:dyDescent="0.25">
      <c r="A71" s="10">
        <v>46272</v>
      </c>
      <c r="B71" s="11">
        <v>408551</v>
      </c>
      <c r="C71" s="19">
        <v>101060</v>
      </c>
      <c r="D71" s="13">
        <f>B71-C71</f>
        <v>307491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8">
        <v>0</v>
      </c>
      <c r="M71" s="14">
        <f t="shared" si="0"/>
        <v>408551</v>
      </c>
      <c r="N71" s="15">
        <f t="shared" si="1"/>
        <v>0.24736201845057287</v>
      </c>
      <c r="O71" s="15">
        <f t="shared" si="2"/>
        <v>0.75263798154942707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5">
        <v>0</v>
      </c>
    </row>
    <row r="72" spans="1:23" x14ac:dyDescent="0.25">
      <c r="A72" s="10">
        <v>46273</v>
      </c>
      <c r="B72" s="11">
        <v>408551</v>
      </c>
      <c r="C72" s="19">
        <v>101060</v>
      </c>
      <c r="D72" s="13">
        <f>B72-C72</f>
        <v>307491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8">
        <v>0</v>
      </c>
      <c r="M72" s="14">
        <f t="shared" si="0"/>
        <v>408551</v>
      </c>
      <c r="N72" s="15">
        <f t="shared" si="1"/>
        <v>0.24736201845057287</v>
      </c>
      <c r="O72" s="15">
        <f t="shared" si="2"/>
        <v>0.75263798154942707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5">
        <v>0</v>
      </c>
    </row>
    <row r="73" spans="1:23" x14ac:dyDescent="0.25">
      <c r="A73" s="10">
        <v>46274</v>
      </c>
      <c r="B73" s="11">
        <v>409358</v>
      </c>
      <c r="C73" s="19">
        <v>184986</v>
      </c>
      <c r="D73" s="13">
        <f>B73-C73</f>
        <v>224372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8">
        <v>0</v>
      </c>
      <c r="M73" s="14">
        <f t="shared" si="0"/>
        <v>409358</v>
      </c>
      <c r="N73" s="15">
        <f t="shared" si="1"/>
        <v>0.45189296410476892</v>
      </c>
      <c r="O73" s="15">
        <f t="shared" si="2"/>
        <v>0.54810703589523102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5">
        <v>0</v>
      </c>
    </row>
    <row r="74" spans="1:23" x14ac:dyDescent="0.25">
      <c r="A74" s="10">
        <v>46275</v>
      </c>
      <c r="B74" s="11">
        <v>411688</v>
      </c>
      <c r="C74" s="19">
        <v>416713</v>
      </c>
      <c r="D74" s="18">
        <v>0</v>
      </c>
      <c r="E74" s="13">
        <v>0</v>
      </c>
      <c r="F74" s="13">
        <v>0</v>
      </c>
      <c r="G74" s="13">
        <v>0</v>
      </c>
      <c r="H74" s="13">
        <v>0</v>
      </c>
      <c r="I74" s="13">
        <v>26031</v>
      </c>
      <c r="J74" s="13">
        <v>0</v>
      </c>
      <c r="K74" s="13">
        <v>0</v>
      </c>
      <c r="L74" s="18">
        <v>120370</v>
      </c>
      <c r="M74" s="14">
        <f t="shared" si="0"/>
        <v>563114</v>
      </c>
      <c r="N74" s="15">
        <f t="shared" si="1"/>
        <v>0.74001534325198803</v>
      </c>
      <c r="O74" s="15">
        <f t="shared" si="2"/>
        <v>0</v>
      </c>
      <c r="P74" s="16">
        <v>0</v>
      </c>
      <c r="Q74" s="16">
        <v>0</v>
      </c>
      <c r="R74" s="16">
        <v>0</v>
      </c>
      <c r="S74" s="16">
        <v>0</v>
      </c>
      <c r="T74" s="16">
        <f t="shared" ref="T74:T79" si="3">I74/M74</f>
        <v>4.6226874132058518E-2</v>
      </c>
      <c r="U74" s="16">
        <f>L74/M74</f>
        <v>0.21375778261595343</v>
      </c>
      <c r="V74" s="16">
        <v>0</v>
      </c>
      <c r="W74" s="15">
        <v>0</v>
      </c>
    </row>
    <row r="75" spans="1:23" x14ac:dyDescent="0.25">
      <c r="A75" s="10">
        <v>46276</v>
      </c>
      <c r="B75" s="11">
        <v>412405</v>
      </c>
      <c r="C75" s="19">
        <f>64754+151830</f>
        <v>216584</v>
      </c>
      <c r="D75" s="13">
        <f>B75-C75-I75</f>
        <v>169790</v>
      </c>
      <c r="E75" s="13">
        <v>0</v>
      </c>
      <c r="F75" s="13">
        <v>0</v>
      </c>
      <c r="G75" s="13">
        <v>0</v>
      </c>
      <c r="H75" s="13">
        <v>0</v>
      </c>
      <c r="I75" s="13">
        <v>26031</v>
      </c>
      <c r="J75" s="13">
        <v>0</v>
      </c>
      <c r="K75" s="13">
        <v>0</v>
      </c>
      <c r="L75" s="13">
        <v>0</v>
      </c>
      <c r="M75" s="14">
        <f t="shared" si="0"/>
        <v>412405</v>
      </c>
      <c r="N75" s="15">
        <f t="shared" si="1"/>
        <v>0.52517307016161296</v>
      </c>
      <c r="O75" s="15">
        <f t="shared" si="2"/>
        <v>0.41170693856767016</v>
      </c>
      <c r="P75" s="16">
        <v>0</v>
      </c>
      <c r="Q75" s="16">
        <v>0</v>
      </c>
      <c r="R75" s="16">
        <v>0</v>
      </c>
      <c r="S75" s="16">
        <v>0</v>
      </c>
      <c r="T75" s="16">
        <f t="shared" si="3"/>
        <v>6.3119991270716894E-2</v>
      </c>
      <c r="U75" s="16">
        <f>L75/M75</f>
        <v>0</v>
      </c>
      <c r="V75" s="16">
        <v>0</v>
      </c>
      <c r="W75" s="15">
        <v>0</v>
      </c>
    </row>
    <row r="76" spans="1:23" x14ac:dyDescent="0.25">
      <c r="A76" s="10">
        <v>46279</v>
      </c>
      <c r="B76" s="11">
        <v>408536</v>
      </c>
      <c r="C76" s="19">
        <v>304575</v>
      </c>
      <c r="D76" s="13">
        <f>B76-C76-I76</f>
        <v>103961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8">
        <v>0</v>
      </c>
      <c r="M76" s="14">
        <f t="shared" si="0"/>
        <v>408536</v>
      </c>
      <c r="N76" s="15">
        <f t="shared" ref="N76" si="4">C76/M76</f>
        <v>0.74552793389077099</v>
      </c>
      <c r="O76" s="15">
        <f t="shared" ref="O76" si="5">D76/M76</f>
        <v>0.25447206610922907</v>
      </c>
      <c r="P76" s="16">
        <v>0</v>
      </c>
      <c r="Q76" s="16">
        <v>0</v>
      </c>
      <c r="R76" s="16">
        <v>0</v>
      </c>
      <c r="S76" s="16">
        <v>0</v>
      </c>
      <c r="T76" s="16">
        <f t="shared" si="3"/>
        <v>0</v>
      </c>
      <c r="U76" s="16">
        <f>L76/M76</f>
        <v>0</v>
      </c>
      <c r="V76" s="16">
        <v>0</v>
      </c>
      <c r="W76" s="15">
        <v>0</v>
      </c>
    </row>
    <row r="77" spans="1:23" x14ac:dyDescent="0.25">
      <c r="A77" s="10">
        <v>46280</v>
      </c>
      <c r="B77" s="11">
        <v>406109</v>
      </c>
      <c r="C77" s="19">
        <v>391532</v>
      </c>
      <c r="D77" s="13">
        <f>B77-C77-I77</f>
        <v>14577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8">
        <v>0</v>
      </c>
      <c r="M77" s="14">
        <f t="shared" si="0"/>
        <v>406109</v>
      </c>
      <c r="N77" s="15">
        <f t="shared" ref="N77" si="6">C77/M77</f>
        <v>0.96410569576148275</v>
      </c>
      <c r="O77" s="15">
        <f t="shared" ref="O77" si="7">D77/M77</f>
        <v>3.5894304238517243E-2</v>
      </c>
      <c r="P77" s="16">
        <v>0</v>
      </c>
      <c r="Q77" s="16">
        <v>0</v>
      </c>
      <c r="R77" s="16">
        <v>0</v>
      </c>
      <c r="S77" s="16">
        <v>0</v>
      </c>
      <c r="T77" s="16">
        <f t="shared" si="3"/>
        <v>0</v>
      </c>
      <c r="U77" s="16">
        <f>L77/M77</f>
        <v>0</v>
      </c>
      <c r="V77" s="16">
        <v>0</v>
      </c>
      <c r="W77" s="15">
        <v>0</v>
      </c>
    </row>
    <row r="78" spans="1:23" x14ac:dyDescent="0.25">
      <c r="A78" s="10">
        <v>46281</v>
      </c>
      <c r="B78" s="11">
        <f>B77+5870</f>
        <v>411979</v>
      </c>
      <c r="C78" s="19">
        <v>288016</v>
      </c>
      <c r="D78" s="13">
        <f>B78-C78-L78</f>
        <v>35963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8">
        <v>88000</v>
      </c>
      <c r="M78" s="14">
        <f t="shared" si="0"/>
        <v>411979</v>
      </c>
      <c r="N78" s="15">
        <f t="shared" ref="N78" si="8">C78/M78</f>
        <v>0.69910359508615727</v>
      </c>
      <c r="O78" s="15">
        <f t="shared" ref="O78" si="9">D78/M78</f>
        <v>8.7293284366436158E-2</v>
      </c>
      <c r="P78" s="16">
        <v>0</v>
      </c>
      <c r="Q78" s="16">
        <v>0</v>
      </c>
      <c r="R78" s="16">
        <v>0</v>
      </c>
      <c r="S78" s="16">
        <v>0</v>
      </c>
      <c r="T78" s="16">
        <f t="shared" si="3"/>
        <v>0</v>
      </c>
      <c r="U78" s="16">
        <v>0</v>
      </c>
      <c r="V78" s="16">
        <v>0</v>
      </c>
      <c r="W78" s="16">
        <f t="shared" ref="W78:W83" si="10">L78/M78</f>
        <v>0.21360312054740654</v>
      </c>
    </row>
    <row r="79" spans="1:23" x14ac:dyDescent="0.25">
      <c r="A79" s="10">
        <v>46282</v>
      </c>
      <c r="B79" s="11">
        <v>415663</v>
      </c>
      <c r="C79" s="19">
        <v>235136</v>
      </c>
      <c r="D79" s="13">
        <f>B79-C79-L79</f>
        <v>136527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8">
        <v>44000</v>
      </c>
      <c r="M79" s="14">
        <f t="shared" si="0"/>
        <v>415663</v>
      </c>
      <c r="N79" s="15">
        <f t="shared" ref="N79" si="11">C79/M79</f>
        <v>0.56568903173965446</v>
      </c>
      <c r="O79" s="15">
        <f t="shared" ref="O79" si="12">D79/M79</f>
        <v>0.32845598477612875</v>
      </c>
      <c r="P79" s="16">
        <v>0</v>
      </c>
      <c r="Q79" s="16">
        <v>0</v>
      </c>
      <c r="R79" s="16">
        <v>0</v>
      </c>
      <c r="S79" s="16">
        <v>0</v>
      </c>
      <c r="T79" s="16">
        <f t="shared" si="3"/>
        <v>0</v>
      </c>
      <c r="U79" s="16">
        <v>0</v>
      </c>
      <c r="V79" s="16">
        <v>0</v>
      </c>
      <c r="W79" s="16">
        <f t="shared" si="10"/>
        <v>0.10585498348421678</v>
      </c>
    </row>
    <row r="80" spans="1:23" x14ac:dyDescent="0.25">
      <c r="A80" s="10">
        <v>46283</v>
      </c>
      <c r="B80" s="11">
        <v>413875</v>
      </c>
      <c r="C80" s="19">
        <v>17795</v>
      </c>
      <c r="D80" s="13">
        <f>B80-C80-L80</f>
        <v>352080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8">
        <v>44000</v>
      </c>
      <c r="M80" s="14">
        <f t="shared" si="0"/>
        <v>413875</v>
      </c>
      <c r="N80" s="15">
        <f t="shared" ref="N80" si="13">C80/M80</f>
        <v>4.299607369374811E-2</v>
      </c>
      <c r="O80" s="15">
        <f t="shared" ref="O80" si="14">D80/M80</f>
        <v>0.85069163394744796</v>
      </c>
      <c r="P80" s="16">
        <v>0</v>
      </c>
      <c r="Q80" s="16">
        <v>0</v>
      </c>
      <c r="R80" s="16">
        <v>0</v>
      </c>
      <c r="S80" s="16">
        <v>0</v>
      </c>
      <c r="T80" s="16">
        <f t="shared" ref="T80" si="15">I80/M80</f>
        <v>0</v>
      </c>
      <c r="U80" s="16">
        <v>0</v>
      </c>
      <c r="V80" s="16">
        <v>0</v>
      </c>
      <c r="W80" s="16">
        <f t="shared" si="10"/>
        <v>0.10631229235880399</v>
      </c>
    </row>
    <row r="81" spans="1:23" x14ac:dyDescent="0.25">
      <c r="A81" s="10">
        <v>46286</v>
      </c>
      <c r="B81" s="11">
        <v>414452</v>
      </c>
      <c r="C81" s="19">
        <v>304174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156718</v>
      </c>
      <c r="J81" s="13">
        <v>0</v>
      </c>
      <c r="K81" s="13">
        <v>0</v>
      </c>
      <c r="L81" s="18">
        <v>44000</v>
      </c>
      <c r="M81" s="14">
        <f t="shared" si="0"/>
        <v>504892</v>
      </c>
      <c r="N81" s="15">
        <f t="shared" ref="N81" si="16">C81/M81</f>
        <v>0.60245359403595222</v>
      </c>
      <c r="O81" s="15">
        <f t="shared" ref="O81" si="17">D81/M81</f>
        <v>0</v>
      </c>
      <c r="P81" s="16">
        <v>0</v>
      </c>
      <c r="Q81" s="16">
        <v>0</v>
      </c>
      <c r="R81" s="16">
        <v>0</v>
      </c>
      <c r="S81" s="16">
        <v>0</v>
      </c>
      <c r="T81" s="16">
        <f t="shared" ref="T81" si="18">I81/M81</f>
        <v>0.31039905563962195</v>
      </c>
      <c r="U81" s="16">
        <v>0</v>
      </c>
      <c r="V81" s="16">
        <v>0</v>
      </c>
      <c r="W81" s="16">
        <f t="shared" si="10"/>
        <v>8.7147350324425818E-2</v>
      </c>
    </row>
    <row r="82" spans="1:23" x14ac:dyDescent="0.25">
      <c r="A82" s="10">
        <v>46287</v>
      </c>
      <c r="B82" s="11">
        <v>418389</v>
      </c>
      <c r="C82" s="19">
        <v>292095</v>
      </c>
      <c r="D82" s="13">
        <f>B82-C82-L82</f>
        <v>82294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8">
        <v>44000</v>
      </c>
      <c r="M82" s="14">
        <f t="shared" si="0"/>
        <v>418389</v>
      </c>
      <c r="N82" s="15">
        <f t="shared" ref="N82:N83" si="19">C82/M82</f>
        <v>0.69814215956920478</v>
      </c>
      <c r="O82" s="15">
        <f t="shared" ref="O82:O83" si="20">D82/M82</f>
        <v>0.19669255166842339</v>
      </c>
      <c r="P82" s="16">
        <v>0</v>
      </c>
      <c r="Q82" s="16">
        <v>0</v>
      </c>
      <c r="R82" s="16">
        <v>0</v>
      </c>
      <c r="S82" s="16">
        <v>0</v>
      </c>
      <c r="T82" s="16">
        <f t="shared" ref="T82:T83" si="21">I82/M82</f>
        <v>0</v>
      </c>
      <c r="U82" s="16">
        <v>0</v>
      </c>
      <c r="V82" s="16">
        <v>0</v>
      </c>
      <c r="W82" s="16">
        <f t="shared" si="10"/>
        <v>0.10516528876237186</v>
      </c>
    </row>
    <row r="83" spans="1:23" x14ac:dyDescent="0.25">
      <c r="A83" s="10">
        <v>46288</v>
      </c>
      <c r="B83" s="11">
        <v>415890</v>
      </c>
      <c r="C83" s="19">
        <v>56987</v>
      </c>
      <c r="D83" s="13">
        <f>B83-C83-H83</f>
        <v>323203</v>
      </c>
      <c r="E83" s="13">
        <v>0</v>
      </c>
      <c r="F83" s="13">
        <v>0</v>
      </c>
      <c r="G83" s="13">
        <v>0</v>
      </c>
      <c r="H83" s="13">
        <v>35700</v>
      </c>
      <c r="I83" s="13">
        <v>0</v>
      </c>
      <c r="J83" s="13">
        <v>0</v>
      </c>
      <c r="K83" s="13">
        <v>0</v>
      </c>
      <c r="L83" s="18">
        <v>0</v>
      </c>
      <c r="M83" s="14">
        <f t="shared" si="0"/>
        <v>415890</v>
      </c>
      <c r="N83" s="15">
        <f t="shared" si="19"/>
        <v>0.13702421313328045</v>
      </c>
      <c r="O83" s="15">
        <f t="shared" si="20"/>
        <v>0.77713578109596293</v>
      </c>
      <c r="P83" s="15">
        <v>0</v>
      </c>
      <c r="Q83" s="15">
        <v>0</v>
      </c>
      <c r="R83" s="15">
        <v>0</v>
      </c>
      <c r="S83" s="15">
        <f t="shared" ref="S83:S88" si="22">H83/M83</f>
        <v>8.5840005770756692E-2</v>
      </c>
      <c r="T83" s="15">
        <f t="shared" si="21"/>
        <v>0</v>
      </c>
      <c r="U83" s="15">
        <v>0</v>
      </c>
      <c r="V83" s="16">
        <v>0</v>
      </c>
      <c r="W83" s="15">
        <f t="shared" si="10"/>
        <v>0</v>
      </c>
    </row>
    <row r="84" spans="1:23" x14ac:dyDescent="0.25">
      <c r="A84" s="10">
        <v>46289</v>
      </c>
      <c r="B84" s="11">
        <v>416077</v>
      </c>
      <c r="C84" s="19">
        <v>72287</v>
      </c>
      <c r="D84" s="13">
        <f>B84-C84-H84-K84</f>
        <v>291870</v>
      </c>
      <c r="E84" s="13">
        <v>0</v>
      </c>
      <c r="F84" s="13">
        <v>0</v>
      </c>
      <c r="G84" s="13">
        <v>0</v>
      </c>
      <c r="H84" s="13">
        <v>35700</v>
      </c>
      <c r="I84" s="13">
        <v>0</v>
      </c>
      <c r="J84" s="13">
        <v>0</v>
      </c>
      <c r="K84" s="13">
        <v>16220</v>
      </c>
      <c r="L84" s="18">
        <v>0</v>
      </c>
      <c r="M84" s="14">
        <f t="shared" si="0"/>
        <v>416077</v>
      </c>
      <c r="N84" s="15">
        <f t="shared" ref="N84" si="23">C84/M84</f>
        <v>0.17373466930399903</v>
      </c>
      <c r="O84" s="15">
        <f t="shared" ref="O84" si="24">D84/M84</f>
        <v>0.70148073553693191</v>
      </c>
      <c r="P84" s="15">
        <v>0</v>
      </c>
      <c r="Q84" s="15">
        <v>0</v>
      </c>
      <c r="R84" s="15">
        <v>0</v>
      </c>
      <c r="S84" s="15">
        <f t="shared" si="22"/>
        <v>8.5801426178327575E-2</v>
      </c>
      <c r="T84" s="15">
        <f t="shared" ref="T84" si="25">I84/M84</f>
        <v>0</v>
      </c>
      <c r="U84" s="15">
        <v>0</v>
      </c>
      <c r="V84" s="16">
        <f t="shared" ref="V84:V89" si="26">K84/M84</f>
        <v>3.8983168980741542E-2</v>
      </c>
      <c r="W84" s="15">
        <f t="shared" ref="W84" si="27">L84/M84</f>
        <v>0</v>
      </c>
    </row>
    <row r="85" spans="1:23" x14ac:dyDescent="0.25">
      <c r="A85" s="10">
        <v>46290</v>
      </c>
      <c r="B85" s="11">
        <v>419561</v>
      </c>
      <c r="C85" s="19">
        <v>72287</v>
      </c>
      <c r="D85" s="13">
        <f>B85-C85-H85-K85</f>
        <v>311574</v>
      </c>
      <c r="E85" s="13">
        <v>0</v>
      </c>
      <c r="F85" s="13">
        <v>0</v>
      </c>
      <c r="G85" s="13">
        <v>0</v>
      </c>
      <c r="H85" s="13">
        <v>35700</v>
      </c>
      <c r="I85" s="13">
        <v>0</v>
      </c>
      <c r="J85" s="13">
        <v>0</v>
      </c>
      <c r="K85" s="13">
        <v>0</v>
      </c>
      <c r="L85" s="18">
        <v>0</v>
      </c>
      <c r="M85" s="14">
        <f t="shared" si="0"/>
        <v>419561</v>
      </c>
      <c r="N85" s="15">
        <f t="shared" ref="N85" si="28">C85/M85</f>
        <v>0.17229199091431283</v>
      </c>
      <c r="O85" s="15">
        <f t="shared" ref="O85:O86" si="29">D85/M85</f>
        <v>0.74261907088599755</v>
      </c>
      <c r="P85" s="15">
        <v>0</v>
      </c>
      <c r="Q85" s="15">
        <v>0</v>
      </c>
      <c r="R85" s="15">
        <v>0</v>
      </c>
      <c r="S85" s="15">
        <f t="shared" si="22"/>
        <v>8.508893819968967E-2</v>
      </c>
      <c r="T85" s="15">
        <f t="shared" ref="T85" si="30">I85/M85</f>
        <v>0</v>
      </c>
      <c r="U85" s="15">
        <v>0</v>
      </c>
      <c r="V85" s="16">
        <f t="shared" si="26"/>
        <v>0</v>
      </c>
      <c r="W85" s="15">
        <f t="shared" ref="W85" si="31">L85/M85</f>
        <v>0</v>
      </c>
    </row>
    <row r="86" spans="1:23" x14ac:dyDescent="0.25">
      <c r="A86" s="10">
        <v>46293</v>
      </c>
      <c r="B86" s="11">
        <v>420061</v>
      </c>
      <c r="C86" s="19">
        <v>350539</v>
      </c>
      <c r="D86" s="13">
        <v>0</v>
      </c>
      <c r="E86" s="13">
        <v>0</v>
      </c>
      <c r="F86" s="13">
        <v>0</v>
      </c>
      <c r="G86" s="13">
        <v>0</v>
      </c>
      <c r="H86" s="13">
        <v>35700</v>
      </c>
      <c r="I86" s="13">
        <v>0</v>
      </c>
      <c r="J86" s="13">
        <v>0</v>
      </c>
      <c r="K86" s="13">
        <v>0</v>
      </c>
      <c r="L86" s="18">
        <v>41648</v>
      </c>
      <c r="M86" s="14">
        <f t="shared" si="0"/>
        <v>427887</v>
      </c>
      <c r="N86" s="15">
        <f t="shared" ref="N86" si="32">C86/M86</f>
        <v>0.81923264787198491</v>
      </c>
      <c r="O86" s="15">
        <f t="shared" si="29"/>
        <v>0</v>
      </c>
      <c r="P86" s="15">
        <v>0</v>
      </c>
      <c r="Q86" s="15">
        <v>0</v>
      </c>
      <c r="R86" s="15">
        <v>0</v>
      </c>
      <c r="S86" s="15">
        <f t="shared" si="22"/>
        <v>8.3433242888893561E-2</v>
      </c>
      <c r="T86" s="15">
        <f t="shared" ref="T86" si="33">I86/M86</f>
        <v>0</v>
      </c>
      <c r="U86" s="15">
        <v>0</v>
      </c>
      <c r="V86" s="16">
        <f t="shared" si="26"/>
        <v>0</v>
      </c>
      <c r="W86" s="15">
        <f t="shared" ref="W86" si="34">L86/M86</f>
        <v>9.7334109239121544E-2</v>
      </c>
    </row>
    <row r="87" spans="1:23" x14ac:dyDescent="0.25">
      <c r="A87" s="10">
        <v>46294</v>
      </c>
      <c r="B87" s="11">
        <v>417007</v>
      </c>
      <c r="C87" s="19">
        <v>348061</v>
      </c>
      <c r="D87" s="13">
        <v>0</v>
      </c>
      <c r="E87" s="13">
        <v>0</v>
      </c>
      <c r="F87" s="13">
        <v>0</v>
      </c>
      <c r="G87" s="13">
        <v>0</v>
      </c>
      <c r="H87" s="13">
        <v>52956</v>
      </c>
      <c r="I87" s="13">
        <v>0</v>
      </c>
      <c r="J87" s="13">
        <v>0</v>
      </c>
      <c r="K87" s="13">
        <v>0</v>
      </c>
      <c r="L87" s="18">
        <v>208986</v>
      </c>
      <c r="M87" s="14">
        <f t="shared" si="0"/>
        <v>610003</v>
      </c>
      <c r="N87" s="15">
        <f t="shared" ref="N87" si="35">C87/M87</f>
        <v>0.57058899710329292</v>
      </c>
      <c r="O87" s="15">
        <f t="shared" ref="O87" si="36">D87/M87</f>
        <v>0</v>
      </c>
      <c r="P87" s="15">
        <v>0</v>
      </c>
      <c r="Q87" s="15">
        <v>0</v>
      </c>
      <c r="R87" s="15">
        <v>0</v>
      </c>
      <c r="S87" s="15">
        <f t="shared" si="22"/>
        <v>8.6812687806453417E-2</v>
      </c>
      <c r="T87" s="15">
        <f t="shared" ref="T87" si="37">I87/M87</f>
        <v>0</v>
      </c>
      <c r="U87" s="15">
        <v>0</v>
      </c>
      <c r="V87" s="16">
        <f t="shared" si="26"/>
        <v>0</v>
      </c>
      <c r="W87" s="15">
        <f t="shared" ref="W87" si="38">L87/M87</f>
        <v>0.34259831509025368</v>
      </c>
    </row>
    <row r="88" spans="1:23" x14ac:dyDescent="0.25">
      <c r="A88" s="10">
        <v>46295</v>
      </c>
      <c r="B88" s="11">
        <v>417135</v>
      </c>
      <c r="C88" s="19">
        <v>279688</v>
      </c>
      <c r="D88" s="13">
        <v>0</v>
      </c>
      <c r="E88" s="13">
        <v>0</v>
      </c>
      <c r="F88" s="13">
        <v>0</v>
      </c>
      <c r="G88" s="13">
        <v>0</v>
      </c>
      <c r="H88" s="13">
        <v>52956</v>
      </c>
      <c r="I88" s="13">
        <v>0</v>
      </c>
      <c r="J88" s="13">
        <v>0</v>
      </c>
      <c r="K88" s="13">
        <v>0</v>
      </c>
      <c r="L88" s="18">
        <v>240039</v>
      </c>
      <c r="M88" s="14">
        <f t="shared" si="0"/>
        <v>572683</v>
      </c>
      <c r="N88" s="15">
        <f t="shared" ref="N88" si="39">C88/M88</f>
        <v>0.4883818796786355</v>
      </c>
      <c r="O88" s="15">
        <f t="shared" ref="O88" si="40">D88/M88</f>
        <v>0</v>
      </c>
      <c r="P88" s="15">
        <v>0</v>
      </c>
      <c r="Q88" s="15">
        <v>0</v>
      </c>
      <c r="R88" s="15">
        <v>0</v>
      </c>
      <c r="S88" s="15">
        <f t="shared" si="22"/>
        <v>9.2470005221038515E-2</v>
      </c>
      <c r="T88" s="15">
        <f t="shared" ref="T88" si="41">I88/M88</f>
        <v>0</v>
      </c>
      <c r="U88" s="15">
        <v>0</v>
      </c>
      <c r="V88" s="16">
        <f t="shared" si="26"/>
        <v>0</v>
      </c>
      <c r="W88" s="15">
        <f t="shared" ref="W88" si="42">L88/M88</f>
        <v>0.41914811510032601</v>
      </c>
    </row>
    <row r="89" spans="1:23" x14ac:dyDescent="0.25">
      <c r="A89" s="10">
        <v>46296</v>
      </c>
      <c r="B89" s="11">
        <v>417510</v>
      </c>
      <c r="C89" s="19">
        <v>164387</v>
      </c>
      <c r="D89" s="13">
        <f>B89-C89-H89-L89</f>
        <v>13084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8">
        <v>240039</v>
      </c>
      <c r="M89" s="14">
        <f t="shared" si="0"/>
        <v>417510</v>
      </c>
      <c r="N89" s="15">
        <f t="shared" ref="N89" si="43">C89/M89</f>
        <v>0.39373188666139736</v>
      </c>
      <c r="O89" s="15">
        <f t="shared" ref="O89" si="44">D89/M89</f>
        <v>3.1338171540801416E-2</v>
      </c>
      <c r="P89" s="15">
        <v>0</v>
      </c>
      <c r="Q89" s="15">
        <v>0</v>
      </c>
      <c r="R89" s="15">
        <v>0</v>
      </c>
      <c r="S89" s="15">
        <f t="shared" ref="S89" si="45">H89/M89</f>
        <v>0</v>
      </c>
      <c r="T89" s="15">
        <f t="shared" ref="T89" si="46">I89/M89</f>
        <v>0</v>
      </c>
      <c r="U89" s="15">
        <v>0</v>
      </c>
      <c r="V89" s="16">
        <f t="shared" si="26"/>
        <v>0</v>
      </c>
      <c r="W89" s="15">
        <f t="shared" ref="W89" si="47">L89/M89</f>
        <v>0.57492994179780121</v>
      </c>
    </row>
    <row r="90" spans="1:23" x14ac:dyDescent="0.25">
      <c r="A90" s="10">
        <v>46297</v>
      </c>
      <c r="B90" s="11">
        <v>414176</v>
      </c>
      <c r="C90" s="19">
        <v>115219</v>
      </c>
      <c r="D90" s="13">
        <f>B90-C90-H90-L90</f>
        <v>41258</v>
      </c>
      <c r="E90" s="13">
        <v>0</v>
      </c>
      <c r="F90" s="13">
        <v>0</v>
      </c>
      <c r="G90" s="13">
        <v>0</v>
      </c>
      <c r="H90" s="13">
        <v>17660</v>
      </c>
      <c r="I90" s="13">
        <v>0</v>
      </c>
      <c r="J90" s="13">
        <v>0</v>
      </c>
      <c r="K90" s="13">
        <v>0</v>
      </c>
      <c r="L90" s="18">
        <v>240039</v>
      </c>
      <c r="M90" s="14">
        <f t="shared" si="0"/>
        <v>414176</v>
      </c>
      <c r="N90" s="15">
        <f t="shared" ref="N90" si="48">C90/M90</f>
        <v>0.27818849957505987</v>
      </c>
      <c r="O90" s="15">
        <f t="shared" ref="O90" si="49">D90/M90</f>
        <v>9.9614656571119523E-2</v>
      </c>
      <c r="P90" s="15">
        <v>0</v>
      </c>
      <c r="Q90" s="15">
        <v>0</v>
      </c>
      <c r="R90" s="15">
        <v>0</v>
      </c>
      <c r="S90" s="15">
        <f t="shared" ref="S90" si="50">H90/M90</f>
        <v>4.2638878158077723E-2</v>
      </c>
      <c r="T90" s="15">
        <f t="shared" ref="T90" si="51">I90/M90</f>
        <v>0</v>
      </c>
      <c r="U90" s="15">
        <v>0</v>
      </c>
      <c r="V90" s="16">
        <f t="shared" ref="V90" si="52">K90/M90</f>
        <v>0</v>
      </c>
      <c r="W90" s="15">
        <f t="shared" ref="W90" si="53">L90/M90</f>
        <v>0.57955796569574292</v>
      </c>
    </row>
    <row r="91" spans="1:23" x14ac:dyDescent="0.25">
      <c r="A91" s="10">
        <v>46300</v>
      </c>
      <c r="B91" s="11">
        <v>412376</v>
      </c>
      <c r="C91" s="19">
        <v>222194</v>
      </c>
      <c r="D91" s="13">
        <v>0</v>
      </c>
      <c r="E91" s="13">
        <v>1406000</v>
      </c>
      <c r="F91" s="13">
        <v>0</v>
      </c>
      <c r="G91" s="13">
        <v>0</v>
      </c>
      <c r="H91" s="13">
        <v>17660</v>
      </c>
      <c r="I91" s="13">
        <v>0</v>
      </c>
      <c r="J91" s="13">
        <v>0</v>
      </c>
      <c r="K91" s="13">
        <v>0</v>
      </c>
      <c r="L91" s="18">
        <v>240039</v>
      </c>
      <c r="M91" s="14">
        <f t="shared" si="0"/>
        <v>1885893</v>
      </c>
      <c r="N91" s="15">
        <f t="shared" ref="N91" si="54">C91/M91</f>
        <v>0.11781898548857225</v>
      </c>
      <c r="O91" s="15">
        <f t="shared" ref="O91" si="55">D91/M91</f>
        <v>0</v>
      </c>
      <c r="P91" s="15">
        <v>0</v>
      </c>
      <c r="Q91" s="15">
        <f t="shared" ref="Q91:Q96" si="56">E91/M91</f>
        <v>0.74553540418252784</v>
      </c>
      <c r="R91" s="15">
        <v>0</v>
      </c>
      <c r="S91" s="15">
        <f t="shared" ref="S91" si="57">H91/M91</f>
        <v>9.3642640383097032E-3</v>
      </c>
      <c r="T91" s="15">
        <f t="shared" ref="T91" si="58">I91/M91</f>
        <v>0</v>
      </c>
      <c r="U91" s="15">
        <v>0</v>
      </c>
      <c r="V91" s="16">
        <f t="shared" ref="V91" si="59">K91/M91</f>
        <v>0</v>
      </c>
      <c r="W91" s="15">
        <f t="shared" ref="W91" si="60">L91/M91</f>
        <v>0.12728134629059018</v>
      </c>
    </row>
    <row r="92" spans="1:23" x14ac:dyDescent="0.25">
      <c r="A92" s="10">
        <v>46301</v>
      </c>
      <c r="B92" s="11">
        <v>408266</v>
      </c>
      <c r="C92" s="19">
        <v>160440</v>
      </c>
      <c r="D92" s="13">
        <f>B92-C92-H92-L92</f>
        <v>230166</v>
      </c>
      <c r="E92" s="13">
        <v>0</v>
      </c>
      <c r="F92" s="13">
        <v>0</v>
      </c>
      <c r="G92" s="13">
        <v>0</v>
      </c>
      <c r="H92" s="13">
        <v>17660</v>
      </c>
      <c r="I92" s="13">
        <v>0</v>
      </c>
      <c r="J92" s="13">
        <v>0</v>
      </c>
      <c r="K92" s="13">
        <v>0</v>
      </c>
      <c r="L92" s="18">
        <v>0</v>
      </c>
      <c r="M92" s="14">
        <f t="shared" si="0"/>
        <v>408266</v>
      </c>
      <c r="N92" s="15">
        <f t="shared" ref="N92" si="61">C92/M92</f>
        <v>0.3929790871637609</v>
      </c>
      <c r="O92" s="15">
        <f t="shared" ref="O92" si="62">D92/M92</f>
        <v>0.56376480039973942</v>
      </c>
      <c r="P92" s="15">
        <v>0</v>
      </c>
      <c r="Q92" s="15">
        <f t="shared" si="56"/>
        <v>0</v>
      </c>
      <c r="R92" s="15">
        <v>0</v>
      </c>
      <c r="S92" s="15">
        <f t="shared" ref="S92" si="63">H92/M92</f>
        <v>4.3256112436499732E-2</v>
      </c>
      <c r="T92" s="15">
        <f t="shared" ref="T92" si="64">I92/M92</f>
        <v>0</v>
      </c>
      <c r="U92" s="15">
        <v>0</v>
      </c>
      <c r="V92" s="16">
        <f t="shared" ref="V92" si="65">K92/M92</f>
        <v>0</v>
      </c>
      <c r="W92" s="15">
        <f t="shared" ref="W92" si="66">L92/M92</f>
        <v>0</v>
      </c>
    </row>
    <row r="93" spans="1:23" x14ac:dyDescent="0.25">
      <c r="A93" s="10">
        <v>46302</v>
      </c>
      <c r="B93" s="11">
        <v>417331</v>
      </c>
      <c r="C93" s="19">
        <v>160440</v>
      </c>
      <c r="D93" s="13">
        <v>0</v>
      </c>
      <c r="E93" s="13">
        <v>2101875</v>
      </c>
      <c r="F93" s="13">
        <v>0</v>
      </c>
      <c r="G93" s="13">
        <v>0</v>
      </c>
      <c r="H93" s="13">
        <v>17660</v>
      </c>
      <c r="I93" s="13">
        <v>0</v>
      </c>
      <c r="J93" s="13">
        <v>0</v>
      </c>
      <c r="K93" s="13">
        <v>0</v>
      </c>
      <c r="L93" s="18">
        <v>0</v>
      </c>
      <c r="M93" s="14">
        <f t="shared" si="0"/>
        <v>2279975</v>
      </c>
      <c r="N93" s="15">
        <f t="shared" ref="N93" si="67">C93/M93</f>
        <v>7.0369192644656187E-2</v>
      </c>
      <c r="O93" s="15">
        <f t="shared" ref="O93" si="68">D93/M93</f>
        <v>0</v>
      </c>
      <c r="P93" s="15">
        <v>0</v>
      </c>
      <c r="Q93" s="15">
        <f t="shared" si="56"/>
        <v>0.92188510838934634</v>
      </c>
      <c r="R93" s="15">
        <v>0</v>
      </c>
      <c r="S93" s="15">
        <f t="shared" ref="S93" si="69">H93/M93</f>
        <v>7.7456989659974345E-3</v>
      </c>
      <c r="T93" s="15">
        <f t="shared" ref="T93" si="70">I93/M93</f>
        <v>0</v>
      </c>
      <c r="U93" s="15">
        <v>0</v>
      </c>
      <c r="V93" s="16">
        <f t="shared" ref="V93" si="71">K93/M93</f>
        <v>0</v>
      </c>
      <c r="W93" s="15">
        <f t="shared" ref="W93" si="72">L93/M93</f>
        <v>0</v>
      </c>
    </row>
    <row r="94" spans="1:23" x14ac:dyDescent="0.25">
      <c r="A94" s="10">
        <v>46303</v>
      </c>
      <c r="B94" s="11">
        <v>420025</v>
      </c>
      <c r="C94" s="19">
        <v>160440</v>
      </c>
      <c r="D94" s="13">
        <f t="shared" ref="D94:D100" si="73">B94-C94-H94-L94-F94</f>
        <v>76736</v>
      </c>
      <c r="E94" s="13">
        <v>0</v>
      </c>
      <c r="F94" s="13">
        <v>165189</v>
      </c>
      <c r="G94" s="13">
        <v>0</v>
      </c>
      <c r="H94" s="13">
        <v>17660</v>
      </c>
      <c r="I94" s="13">
        <v>0</v>
      </c>
      <c r="J94" s="13">
        <v>0</v>
      </c>
      <c r="K94" s="13">
        <v>0</v>
      </c>
      <c r="L94" s="18">
        <v>0</v>
      </c>
      <c r="M94" s="14">
        <f t="shared" si="0"/>
        <v>420025</v>
      </c>
      <c r="N94" s="15">
        <f t="shared" ref="N94" si="74">C94/M94</f>
        <v>0.38197726325813941</v>
      </c>
      <c r="O94" s="15">
        <f t="shared" ref="O94" si="75">D94/M94</f>
        <v>0.18269388726861496</v>
      </c>
      <c r="P94" s="15">
        <f>F94/M94</f>
        <v>0.39328373311112436</v>
      </c>
      <c r="Q94" s="15">
        <f t="shared" si="56"/>
        <v>0</v>
      </c>
      <c r="R94" s="15">
        <v>0</v>
      </c>
      <c r="S94" s="15">
        <f t="shared" ref="S94" si="76">H94/M94</f>
        <v>4.2045116362121306E-2</v>
      </c>
      <c r="T94" s="15">
        <f t="shared" ref="T94" si="77">I94/M94</f>
        <v>0</v>
      </c>
      <c r="U94" s="15">
        <v>0</v>
      </c>
      <c r="V94" s="16">
        <f t="shared" ref="V94" si="78">K94/M94</f>
        <v>0</v>
      </c>
      <c r="W94" s="15">
        <f t="shared" ref="W94" si="79">L94/M94</f>
        <v>0</v>
      </c>
    </row>
    <row r="95" spans="1:23" x14ac:dyDescent="0.25">
      <c r="A95" s="10">
        <v>46304</v>
      </c>
      <c r="B95" s="11">
        <v>419639</v>
      </c>
      <c r="C95" s="19">
        <v>0</v>
      </c>
      <c r="D95" s="13">
        <f t="shared" si="73"/>
        <v>236790</v>
      </c>
      <c r="E95" s="13">
        <v>0</v>
      </c>
      <c r="F95" s="13">
        <v>165189</v>
      </c>
      <c r="G95" s="13">
        <v>0</v>
      </c>
      <c r="H95" s="13">
        <v>17660</v>
      </c>
      <c r="I95" s="13">
        <v>0</v>
      </c>
      <c r="J95" s="13">
        <v>0</v>
      </c>
      <c r="K95" s="13">
        <v>0</v>
      </c>
      <c r="L95" s="18">
        <v>0</v>
      </c>
      <c r="M95" s="14">
        <f t="shared" si="0"/>
        <v>419639</v>
      </c>
      <c r="N95" s="15">
        <f t="shared" ref="N95" si="80">C95/M95</f>
        <v>0</v>
      </c>
      <c r="O95" s="15">
        <f t="shared" ref="O95" si="81">D95/M95</f>
        <v>0.56427071840319898</v>
      </c>
      <c r="P95" s="15">
        <f>F95/M95</f>
        <v>0.39364549052876402</v>
      </c>
      <c r="Q95" s="15">
        <f t="shared" si="56"/>
        <v>0</v>
      </c>
      <c r="R95" s="15">
        <v>0</v>
      </c>
      <c r="S95" s="15">
        <f t="shared" ref="S95" si="82">H95/M95</f>
        <v>4.2083791068037051E-2</v>
      </c>
      <c r="T95" s="15">
        <f t="shared" ref="T95" si="83">I95/M95</f>
        <v>0</v>
      </c>
      <c r="U95" s="15">
        <v>0</v>
      </c>
      <c r="V95" s="16">
        <f t="shared" ref="V95" si="84">K95/M95</f>
        <v>0</v>
      </c>
      <c r="W95" s="15">
        <f t="shared" ref="W95" si="85">L95/M95</f>
        <v>0</v>
      </c>
    </row>
    <row r="96" spans="1:23" x14ac:dyDescent="0.25">
      <c r="A96" s="10">
        <v>46307</v>
      </c>
      <c r="B96" s="11">
        <v>418610</v>
      </c>
      <c r="C96" s="19">
        <v>0</v>
      </c>
      <c r="D96" s="13">
        <f t="shared" si="73"/>
        <v>227126</v>
      </c>
      <c r="E96" s="13">
        <v>0</v>
      </c>
      <c r="F96" s="13">
        <v>165189</v>
      </c>
      <c r="G96" s="13">
        <v>0</v>
      </c>
      <c r="H96" s="13">
        <v>26295</v>
      </c>
      <c r="I96" s="13">
        <v>0</v>
      </c>
      <c r="J96" s="13">
        <v>0</v>
      </c>
      <c r="K96" s="13">
        <v>0</v>
      </c>
      <c r="L96" s="18">
        <v>0</v>
      </c>
      <c r="M96" s="14">
        <f t="shared" si="0"/>
        <v>418610</v>
      </c>
      <c r="N96" s="15">
        <f t="shared" ref="N96" si="86">C96/M96</f>
        <v>0</v>
      </c>
      <c r="O96" s="15">
        <f t="shared" ref="O96" si="87">D96/M96</f>
        <v>0.54257184491531496</v>
      </c>
      <c r="P96" s="15">
        <f>F96/M96</f>
        <v>0.39461312438785506</v>
      </c>
      <c r="Q96" s="15">
        <f t="shared" si="56"/>
        <v>0</v>
      </c>
      <c r="R96" s="15">
        <v>0</v>
      </c>
      <c r="S96" s="15">
        <f t="shared" ref="S96" si="88">H96/M96</f>
        <v>6.281503069682999E-2</v>
      </c>
      <c r="T96" s="15">
        <f t="shared" ref="T96" si="89">I96/M96</f>
        <v>0</v>
      </c>
      <c r="U96" s="15">
        <v>0</v>
      </c>
      <c r="V96" s="16">
        <f t="shared" ref="V96" si="90">K96/M96</f>
        <v>0</v>
      </c>
      <c r="W96" s="15">
        <f t="shared" ref="W96" si="91">L96/M96</f>
        <v>0</v>
      </c>
    </row>
    <row r="97" spans="1:23" x14ac:dyDescent="0.25">
      <c r="A97" s="10">
        <v>46308</v>
      </c>
      <c r="B97" s="11">
        <v>418740</v>
      </c>
      <c r="C97" s="19">
        <v>0</v>
      </c>
      <c r="D97" s="13">
        <f t="shared" si="73"/>
        <v>227256</v>
      </c>
      <c r="E97" s="13">
        <v>0</v>
      </c>
      <c r="F97" s="13">
        <v>165189</v>
      </c>
      <c r="G97" s="13">
        <v>0</v>
      </c>
      <c r="H97" s="13">
        <v>26295</v>
      </c>
      <c r="I97" s="13">
        <v>0</v>
      </c>
      <c r="J97" s="13">
        <v>0</v>
      </c>
      <c r="K97" s="13">
        <v>0</v>
      </c>
      <c r="L97" s="18">
        <v>0</v>
      </c>
      <c r="M97" s="14">
        <f t="shared" si="0"/>
        <v>418740</v>
      </c>
      <c r="N97" s="15">
        <f t="shared" ref="N97" si="92">C97/M97</f>
        <v>0</v>
      </c>
      <c r="O97" s="15">
        <f t="shared" ref="O97" si="93">D97/M97</f>
        <v>0.54271385585327414</v>
      </c>
      <c r="P97" s="15">
        <f>F97/M97</f>
        <v>0.39449061470124658</v>
      </c>
      <c r="Q97" s="15">
        <f t="shared" ref="Q97" si="94">E97/M97</f>
        <v>0</v>
      </c>
      <c r="R97" s="15">
        <v>0</v>
      </c>
      <c r="S97" s="15">
        <f t="shared" ref="S97" si="95">H97/M97</f>
        <v>6.2795529445479295E-2</v>
      </c>
      <c r="T97" s="15">
        <f t="shared" ref="T97" si="96">I97/M97</f>
        <v>0</v>
      </c>
      <c r="U97" s="15">
        <v>0</v>
      </c>
      <c r="V97" s="16">
        <f t="shared" ref="V97" si="97">K97/M97</f>
        <v>0</v>
      </c>
      <c r="W97" s="15">
        <f t="shared" ref="W97" si="98">L97/M97</f>
        <v>0</v>
      </c>
    </row>
    <row r="98" spans="1:23" x14ac:dyDescent="0.25">
      <c r="A98" s="10">
        <v>46309</v>
      </c>
      <c r="B98" s="11">
        <v>421826</v>
      </c>
      <c r="C98" s="19">
        <v>0</v>
      </c>
      <c r="D98" s="13">
        <f t="shared" si="73"/>
        <v>139041</v>
      </c>
      <c r="E98" s="13">
        <v>0</v>
      </c>
      <c r="F98" s="13">
        <v>256490</v>
      </c>
      <c r="G98" s="13">
        <v>0</v>
      </c>
      <c r="H98" s="13">
        <v>26295</v>
      </c>
      <c r="I98" s="13">
        <v>0</v>
      </c>
      <c r="J98" s="13">
        <v>0</v>
      </c>
      <c r="K98" s="13">
        <v>0</v>
      </c>
      <c r="L98" s="18">
        <v>0</v>
      </c>
      <c r="M98" s="14">
        <f t="shared" si="0"/>
        <v>421826</v>
      </c>
      <c r="N98" s="15">
        <f t="shared" ref="N98" si="99">C98/M98</f>
        <v>0</v>
      </c>
      <c r="O98" s="15">
        <f t="shared" ref="O98:O99" si="100">D98/M98</f>
        <v>0.32961695106513111</v>
      </c>
      <c r="P98" s="15">
        <f>F98/M98</f>
        <v>0.60804691982002057</v>
      </c>
      <c r="Q98" s="15">
        <f t="shared" ref="Q98" si="101">E98/M98</f>
        <v>0</v>
      </c>
      <c r="R98" s="15">
        <v>0</v>
      </c>
      <c r="S98" s="15">
        <f t="shared" ref="S98" si="102">H98/M98</f>
        <v>6.2336129114848302E-2</v>
      </c>
      <c r="T98" s="15">
        <f t="shared" ref="T98" si="103">I98/M98</f>
        <v>0</v>
      </c>
      <c r="U98" s="15">
        <v>0</v>
      </c>
      <c r="V98" s="16">
        <f t="shared" ref="V98" si="104">K98/M98</f>
        <v>0</v>
      </c>
      <c r="W98" s="15">
        <f t="shared" ref="W98" si="105">L98/M98</f>
        <v>0</v>
      </c>
    </row>
    <row r="99" spans="1:23" x14ac:dyDescent="0.25">
      <c r="A99" s="10">
        <v>46310</v>
      </c>
      <c r="B99" s="11">
        <v>422979</v>
      </c>
      <c r="C99" s="19">
        <v>141047</v>
      </c>
      <c r="D99" s="13">
        <f t="shared" si="73"/>
        <v>281932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8">
        <v>0</v>
      </c>
      <c r="M99" s="14">
        <f t="shared" si="0"/>
        <v>422979</v>
      </c>
      <c r="N99" s="15">
        <f t="shared" ref="N99" si="106">C99/M99</f>
        <v>0.33346099924582545</v>
      </c>
      <c r="O99" s="15">
        <f t="shared" si="100"/>
        <v>0.6665390007541746</v>
      </c>
      <c r="P99" s="15">
        <f t="shared" ref="P99" si="107">E99/N99</f>
        <v>0</v>
      </c>
      <c r="Q99" s="15">
        <f t="shared" ref="Q99" si="108">E99/M99</f>
        <v>0</v>
      </c>
      <c r="R99" s="15">
        <v>0</v>
      </c>
      <c r="S99" s="15">
        <v>0</v>
      </c>
      <c r="T99" s="15">
        <f t="shared" ref="T99" si="109">I99/M99</f>
        <v>0</v>
      </c>
      <c r="U99" s="15">
        <v>0</v>
      </c>
      <c r="V99" s="16">
        <f t="shared" ref="V99" si="110">K99/M99</f>
        <v>0</v>
      </c>
      <c r="W99" s="15">
        <f t="shared" ref="W99" si="111">L99/M99</f>
        <v>0</v>
      </c>
    </row>
    <row r="100" spans="1:23" x14ac:dyDescent="0.25">
      <c r="A100" s="10">
        <v>46311</v>
      </c>
      <c r="B100" s="11">
        <v>424623</v>
      </c>
      <c r="C100" s="19">
        <v>225245</v>
      </c>
      <c r="D100" s="13">
        <f t="shared" si="73"/>
        <v>199378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8">
        <v>0</v>
      </c>
      <c r="M100" s="14">
        <f t="shared" si="0"/>
        <v>424623</v>
      </c>
      <c r="N100" s="15">
        <f t="shared" ref="N100" si="112">C100/M100</f>
        <v>0.5304587834384854</v>
      </c>
      <c r="O100" s="15">
        <f t="shared" ref="O100" si="113">D100/M100</f>
        <v>0.46954121656151454</v>
      </c>
      <c r="P100" s="15">
        <f t="shared" ref="P100" si="114">E100/N100</f>
        <v>0</v>
      </c>
      <c r="Q100" s="15">
        <f t="shared" ref="Q100" si="115">E100/M100</f>
        <v>0</v>
      </c>
      <c r="R100" s="15">
        <v>0</v>
      </c>
      <c r="S100" s="15">
        <v>0</v>
      </c>
      <c r="T100" s="15">
        <f t="shared" ref="T100" si="116">I100/M100</f>
        <v>0</v>
      </c>
      <c r="U100" s="15">
        <v>0</v>
      </c>
      <c r="V100" s="16">
        <f t="shared" ref="V100" si="117">K100/M100</f>
        <v>0</v>
      </c>
      <c r="W100" s="15">
        <f t="shared" ref="W100" si="118">L100/M100</f>
        <v>0</v>
      </c>
    </row>
    <row r="1048543" spans="1:1" x14ac:dyDescent="0.25">
      <c r="A1048543" s="10"/>
    </row>
    <row r="1048576" spans="1:1" x14ac:dyDescent="0.25">
      <c r="A1048576" s="10"/>
    </row>
  </sheetData>
  <conditionalFormatting sqref="N2:W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377D1-7411-2E4F-8B9F-87FBABE19BBE}">
  <dimension ref="A1:L204"/>
  <sheetViews>
    <sheetView topLeftCell="E1" zoomScale="150" zoomScaleNormal="150" workbookViewId="0">
      <selection activeCell="G2" sqref="G2"/>
    </sheetView>
  </sheetViews>
  <sheetFormatPr baseColWidth="10" defaultColWidth="10.83203125" defaultRowHeight="15" x14ac:dyDescent="0.2"/>
  <cols>
    <col min="1" max="1" width="16.1640625" style="2" customWidth="1"/>
    <col min="2" max="2" width="23.6640625" style="2" customWidth="1"/>
    <col min="3" max="3" width="18.83203125" style="2" customWidth="1"/>
    <col min="4" max="4" width="26.6640625" style="2" bestFit="1" customWidth="1"/>
    <col min="5" max="5" width="20" style="2" bestFit="1" customWidth="1"/>
    <col min="6" max="6" width="22.1640625" style="2" customWidth="1"/>
    <col min="7" max="7" width="33.83203125" style="2" customWidth="1"/>
    <col min="8" max="8" width="27.83203125" style="2" customWidth="1"/>
    <col min="9" max="9" width="45.33203125" style="3" customWidth="1"/>
    <col min="10" max="10" width="31.83203125" style="3" customWidth="1"/>
    <col min="11" max="11" width="60.33203125" style="2" customWidth="1"/>
    <col min="12" max="12" width="47.6640625" style="2" bestFit="1" customWidth="1"/>
    <col min="13" max="16384" width="10.83203125" style="2"/>
  </cols>
  <sheetData>
    <row r="1" spans="1:12" s="4" customFormat="1" x14ac:dyDescent="0.2">
      <c r="A1" s="4" t="s">
        <v>111</v>
      </c>
      <c r="B1" s="4" t="s">
        <v>112</v>
      </c>
      <c r="C1" s="4" t="s">
        <v>113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118</v>
      </c>
      <c r="I1" s="4" t="s">
        <v>119</v>
      </c>
      <c r="J1" s="4" t="s">
        <v>120</v>
      </c>
      <c r="K1" s="4" t="s">
        <v>121</v>
      </c>
      <c r="L1" s="4" t="s">
        <v>122</v>
      </c>
    </row>
    <row r="2" spans="1:12" s="1" customFormat="1" x14ac:dyDescent="0.2">
      <c r="A2" s="3" t="s">
        <v>123</v>
      </c>
      <c r="B2" s="3" t="s">
        <v>124</v>
      </c>
      <c r="C2" s="3" t="s">
        <v>125</v>
      </c>
      <c r="D2" s="3" t="s">
        <v>126</v>
      </c>
      <c r="E2" s="3" t="s">
        <v>127</v>
      </c>
      <c r="F2" s="3" t="s">
        <v>128</v>
      </c>
      <c r="G2" s="3" t="s">
        <v>533</v>
      </c>
      <c r="H2" s="3" t="s">
        <v>130</v>
      </c>
      <c r="I2" s="3" t="s">
        <v>131</v>
      </c>
      <c r="J2" s="3" t="s">
        <v>132</v>
      </c>
      <c r="K2" s="3" t="s">
        <v>133</v>
      </c>
      <c r="L2" s="3" t="s">
        <v>134</v>
      </c>
    </row>
    <row r="3" spans="1:12" s="1" customFormat="1" x14ac:dyDescent="0.2">
      <c r="A3" s="3" t="s">
        <v>135</v>
      </c>
      <c r="B3" s="3" t="s">
        <v>136</v>
      </c>
      <c r="C3" s="3" t="s">
        <v>137</v>
      </c>
      <c r="D3" s="3" t="s">
        <v>138</v>
      </c>
      <c r="E3" s="3" t="s">
        <v>139</v>
      </c>
      <c r="F3" s="3" t="s">
        <v>140</v>
      </c>
      <c r="G3" s="3" t="s">
        <v>534</v>
      </c>
      <c r="H3" s="3" t="s">
        <v>142</v>
      </c>
      <c r="I3" s="3" t="s">
        <v>143</v>
      </c>
      <c r="J3" s="3" t="s">
        <v>144</v>
      </c>
      <c r="K3" s="3" t="s">
        <v>145</v>
      </c>
      <c r="L3" s="3" t="s">
        <v>146</v>
      </c>
    </row>
    <row r="4" spans="1:12" s="1" customFormat="1" x14ac:dyDescent="0.2">
      <c r="A4" s="3" t="s">
        <v>147</v>
      </c>
      <c r="B4" s="3" t="s">
        <v>148</v>
      </c>
      <c r="C4" s="3" t="s">
        <v>149</v>
      </c>
      <c r="D4" s="3" t="s">
        <v>150</v>
      </c>
      <c r="E4" s="3" t="s">
        <v>151</v>
      </c>
      <c r="F4" s="2"/>
      <c r="G4" s="3" t="s">
        <v>129</v>
      </c>
      <c r="H4" s="3" t="s">
        <v>153</v>
      </c>
      <c r="I4" s="3" t="s">
        <v>154</v>
      </c>
      <c r="J4" s="3" t="s">
        <v>155</v>
      </c>
      <c r="K4" s="3" t="s">
        <v>156</v>
      </c>
      <c r="L4" s="3" t="s">
        <v>157</v>
      </c>
    </row>
    <row r="5" spans="1:12" s="1" customFormat="1" x14ac:dyDescent="0.2">
      <c r="A5" s="3" t="s">
        <v>158</v>
      </c>
      <c r="B5" s="3" t="s">
        <v>159</v>
      </c>
      <c r="C5" s="3" t="s">
        <v>160</v>
      </c>
      <c r="D5" s="3" t="s">
        <v>161</v>
      </c>
      <c r="E5" s="3" t="s">
        <v>162</v>
      </c>
      <c r="F5" s="2"/>
      <c r="G5" s="3" t="s">
        <v>141</v>
      </c>
      <c r="H5" s="3" t="s">
        <v>164</v>
      </c>
      <c r="I5" s="3" t="s">
        <v>165</v>
      </c>
      <c r="J5" s="3" t="s">
        <v>166</v>
      </c>
      <c r="K5" s="3" t="s">
        <v>167</v>
      </c>
      <c r="L5" s="3" t="s">
        <v>168</v>
      </c>
    </row>
    <row r="6" spans="1:12" s="1" customFormat="1" x14ac:dyDescent="0.2">
      <c r="A6" s="3" t="s">
        <v>169</v>
      </c>
      <c r="B6" s="3" t="s">
        <v>170</v>
      </c>
      <c r="C6" s="3" t="s">
        <v>171</v>
      </c>
      <c r="D6" s="3" t="s">
        <v>172</v>
      </c>
      <c r="E6" s="3" t="s">
        <v>173</v>
      </c>
      <c r="F6" s="2"/>
      <c r="G6" s="3" t="s">
        <v>152</v>
      </c>
      <c r="H6" s="3" t="s">
        <v>175</v>
      </c>
      <c r="I6" s="3" t="s">
        <v>176</v>
      </c>
      <c r="J6" s="3" t="s">
        <v>177</v>
      </c>
      <c r="K6" s="3" t="s">
        <v>178</v>
      </c>
      <c r="L6" s="3" t="s">
        <v>179</v>
      </c>
    </row>
    <row r="7" spans="1:12" s="1" customFormat="1" x14ac:dyDescent="0.2">
      <c r="A7" s="3" t="s">
        <v>180</v>
      </c>
      <c r="B7" s="3" t="s">
        <v>181</v>
      </c>
      <c r="C7" s="3" t="s">
        <v>182</v>
      </c>
      <c r="D7" s="3" t="s">
        <v>183</v>
      </c>
      <c r="E7" s="3" t="s">
        <v>184</v>
      </c>
      <c r="F7" s="2"/>
      <c r="G7" s="3" t="s">
        <v>163</v>
      </c>
      <c r="H7" s="3" t="s">
        <v>186</v>
      </c>
      <c r="I7" s="3" t="s">
        <v>187</v>
      </c>
      <c r="J7" s="3" t="s">
        <v>188</v>
      </c>
      <c r="K7" s="3" t="s">
        <v>189</v>
      </c>
      <c r="L7" s="3" t="s">
        <v>190</v>
      </c>
    </row>
    <row r="8" spans="1:12" s="1" customFormat="1" x14ac:dyDescent="0.2">
      <c r="A8" s="3" t="s">
        <v>191</v>
      </c>
      <c r="B8" s="3" t="s">
        <v>192</v>
      </c>
      <c r="C8" s="3" t="s">
        <v>193</v>
      </c>
      <c r="D8" s="2"/>
      <c r="E8" s="3" t="s">
        <v>194</v>
      </c>
      <c r="F8" s="2"/>
      <c r="G8" s="3" t="s">
        <v>174</v>
      </c>
      <c r="H8" s="3" t="s">
        <v>196</v>
      </c>
      <c r="I8" s="3" t="s">
        <v>197</v>
      </c>
      <c r="J8" s="3" t="s">
        <v>198</v>
      </c>
      <c r="K8" s="3" t="s">
        <v>199</v>
      </c>
      <c r="L8" s="3" t="s">
        <v>200</v>
      </c>
    </row>
    <row r="9" spans="1:12" s="1" customFormat="1" x14ac:dyDescent="0.2">
      <c r="A9" s="3"/>
      <c r="B9" s="3" t="s">
        <v>201</v>
      </c>
      <c r="C9" s="3" t="s">
        <v>202</v>
      </c>
      <c r="D9" s="2"/>
      <c r="E9" s="3" t="s">
        <v>203</v>
      </c>
      <c r="F9" s="2"/>
      <c r="G9" s="3" t="s">
        <v>185</v>
      </c>
      <c r="H9" s="3" t="s">
        <v>205</v>
      </c>
      <c r="I9" s="3" t="s">
        <v>206</v>
      </c>
      <c r="J9" s="3" t="s">
        <v>207</v>
      </c>
      <c r="K9" s="3" t="s">
        <v>208</v>
      </c>
      <c r="L9" s="3" t="s">
        <v>209</v>
      </c>
    </row>
    <row r="10" spans="1:12" s="1" customFormat="1" x14ac:dyDescent="0.2">
      <c r="A10" s="3"/>
      <c r="B10" s="3" t="s">
        <v>210</v>
      </c>
      <c r="C10" s="3" t="s">
        <v>211</v>
      </c>
      <c r="D10" s="2"/>
      <c r="E10" s="2"/>
      <c r="F10" s="2"/>
      <c r="G10" s="3" t="s">
        <v>559</v>
      </c>
      <c r="H10" s="3" t="s">
        <v>213</v>
      </c>
      <c r="I10" s="3" t="s">
        <v>214</v>
      </c>
      <c r="J10" s="3" t="s">
        <v>215</v>
      </c>
      <c r="K10" s="3" t="s">
        <v>216</v>
      </c>
      <c r="L10" s="3" t="s">
        <v>217</v>
      </c>
    </row>
    <row r="11" spans="1:12" s="1" customFormat="1" x14ac:dyDescent="0.2">
      <c r="A11" s="3"/>
      <c r="B11" s="3" t="s">
        <v>218</v>
      </c>
      <c r="C11" s="3" t="s">
        <v>219</v>
      </c>
      <c r="D11" s="2"/>
      <c r="E11" s="2"/>
      <c r="F11" s="2"/>
      <c r="G11" s="3" t="s">
        <v>195</v>
      </c>
      <c r="H11" s="3" t="s">
        <v>221</v>
      </c>
      <c r="I11" s="3" t="s">
        <v>222</v>
      </c>
      <c r="J11" s="3" t="s">
        <v>223</v>
      </c>
      <c r="K11" s="3" t="s">
        <v>224</v>
      </c>
      <c r="L11" s="3" t="s">
        <v>225</v>
      </c>
    </row>
    <row r="12" spans="1:12" s="1" customFormat="1" x14ac:dyDescent="0.2">
      <c r="A12" s="3"/>
      <c r="B12" s="3"/>
      <c r="C12" s="3"/>
      <c r="D12" s="2"/>
      <c r="E12" s="2"/>
      <c r="F12" s="2"/>
      <c r="G12" s="3" t="s">
        <v>204</v>
      </c>
      <c r="H12" s="3" t="s">
        <v>227</v>
      </c>
      <c r="I12" s="3" t="s">
        <v>228</v>
      </c>
      <c r="J12" s="3" t="s">
        <v>229</v>
      </c>
      <c r="K12" s="3" t="s">
        <v>526</v>
      </c>
      <c r="L12" s="3" t="s">
        <v>231</v>
      </c>
    </row>
    <row r="13" spans="1:12" s="1" customFormat="1" x14ac:dyDescent="0.2">
      <c r="A13" s="3"/>
      <c r="B13" s="3"/>
      <c r="C13" s="3"/>
      <c r="D13" s="2"/>
      <c r="E13" s="2"/>
      <c r="F13" s="2"/>
      <c r="G13" s="3" t="s">
        <v>212</v>
      </c>
      <c r="H13" s="3"/>
      <c r="I13" s="3" t="s">
        <v>233</v>
      </c>
      <c r="J13" s="3" t="s">
        <v>234</v>
      </c>
      <c r="K13" s="3" t="s">
        <v>230</v>
      </c>
      <c r="L13" s="3" t="s">
        <v>236</v>
      </c>
    </row>
    <row r="14" spans="1:12" s="1" customFormat="1" x14ac:dyDescent="0.2">
      <c r="A14" s="3"/>
      <c r="B14" s="3"/>
      <c r="C14" s="2"/>
      <c r="D14" s="2"/>
      <c r="E14" s="2"/>
      <c r="F14" s="2"/>
      <c r="G14" s="3" t="s">
        <v>220</v>
      </c>
      <c r="H14" s="3"/>
      <c r="I14" s="3" t="s">
        <v>238</v>
      </c>
      <c r="J14" s="3" t="s">
        <v>239</v>
      </c>
      <c r="K14" s="3" t="s">
        <v>235</v>
      </c>
      <c r="L14" s="3" t="s">
        <v>241</v>
      </c>
    </row>
    <row r="15" spans="1:12" s="1" customFormat="1" x14ac:dyDescent="0.2">
      <c r="A15" s="3"/>
      <c r="B15" s="3"/>
      <c r="C15" s="2"/>
      <c r="D15" s="2"/>
      <c r="E15" s="2"/>
      <c r="F15" s="2"/>
      <c r="G15" s="3" t="s">
        <v>226</v>
      </c>
      <c r="H15" s="3"/>
      <c r="I15" s="3" t="s">
        <v>243</v>
      </c>
      <c r="J15" s="3" t="s">
        <v>244</v>
      </c>
      <c r="K15" s="3" t="s">
        <v>240</v>
      </c>
      <c r="L15" s="3" t="s">
        <v>246</v>
      </c>
    </row>
    <row r="16" spans="1:12" s="1" customFormat="1" x14ac:dyDescent="0.2">
      <c r="A16" s="3"/>
      <c r="B16" s="3"/>
      <c r="C16" s="2"/>
      <c r="D16" s="2"/>
      <c r="E16" s="2"/>
      <c r="F16" s="2"/>
      <c r="G16" s="3" t="s">
        <v>232</v>
      </c>
      <c r="H16" s="3"/>
      <c r="I16" s="3" t="s">
        <v>248</v>
      </c>
      <c r="J16" s="3" t="s">
        <v>249</v>
      </c>
      <c r="K16" s="3" t="s">
        <v>245</v>
      </c>
      <c r="L16" s="3" t="s">
        <v>251</v>
      </c>
    </row>
    <row r="17" spans="1:12" s="1" customFormat="1" x14ac:dyDescent="0.2">
      <c r="A17" s="3" t="s">
        <v>252</v>
      </c>
      <c r="B17" s="3">
        <v>7</v>
      </c>
      <c r="C17" s="2"/>
      <c r="D17" s="2"/>
      <c r="E17" s="2"/>
      <c r="F17" s="2"/>
      <c r="G17" s="3" t="s">
        <v>237</v>
      </c>
      <c r="H17" s="3"/>
      <c r="I17" s="3" t="s">
        <v>254</v>
      </c>
      <c r="J17" s="3" t="s">
        <v>255</v>
      </c>
      <c r="K17" s="3" t="s">
        <v>250</v>
      </c>
      <c r="L17" s="3" t="s">
        <v>257</v>
      </c>
    </row>
    <row r="18" spans="1:12" s="1" customFormat="1" x14ac:dyDescent="0.2">
      <c r="A18" s="3" t="s">
        <v>112</v>
      </c>
      <c r="B18" s="3">
        <v>10</v>
      </c>
      <c r="C18" s="2"/>
      <c r="D18" s="2"/>
      <c r="E18" s="2"/>
      <c r="F18" s="2"/>
      <c r="G18" s="3" t="s">
        <v>242</v>
      </c>
      <c r="H18" s="3"/>
      <c r="I18" s="3" t="s">
        <v>259</v>
      </c>
      <c r="J18" s="3" t="s">
        <v>260</v>
      </c>
      <c r="K18" s="3" t="s">
        <v>256</v>
      </c>
      <c r="L18" s="3" t="s">
        <v>262</v>
      </c>
    </row>
    <row r="19" spans="1:12" s="1" customFormat="1" x14ac:dyDescent="0.2">
      <c r="A19" s="3" t="s">
        <v>113</v>
      </c>
      <c r="B19" s="3">
        <v>10</v>
      </c>
      <c r="C19" s="2"/>
      <c r="D19" s="2"/>
      <c r="E19" s="2"/>
      <c r="F19" s="2"/>
      <c r="G19" s="3" t="s">
        <v>247</v>
      </c>
      <c r="H19" s="3"/>
      <c r="I19" s="3" t="s">
        <v>264</v>
      </c>
      <c r="J19" s="3" t="s">
        <v>265</v>
      </c>
      <c r="K19" s="3" t="s">
        <v>261</v>
      </c>
      <c r="L19" s="3" t="s">
        <v>267</v>
      </c>
    </row>
    <row r="20" spans="1:12" s="1" customFormat="1" x14ac:dyDescent="0.2">
      <c r="A20" s="3" t="s">
        <v>114</v>
      </c>
      <c r="B20" s="3">
        <v>6</v>
      </c>
      <c r="C20" s="2"/>
      <c r="D20" s="2"/>
      <c r="E20" s="2"/>
      <c r="F20" s="2"/>
      <c r="G20" s="3" t="s">
        <v>253</v>
      </c>
      <c r="H20" s="3"/>
      <c r="I20" s="3" t="s">
        <v>269</v>
      </c>
      <c r="J20" s="3" t="s">
        <v>270</v>
      </c>
      <c r="K20" s="3" t="s">
        <v>266</v>
      </c>
      <c r="L20" s="3" t="s">
        <v>272</v>
      </c>
    </row>
    <row r="21" spans="1:12" s="1" customFormat="1" x14ac:dyDescent="0.2">
      <c r="A21" s="3" t="s">
        <v>115</v>
      </c>
      <c r="B21" s="3">
        <v>8</v>
      </c>
      <c r="C21" s="2"/>
      <c r="D21" s="2"/>
      <c r="E21" s="2"/>
      <c r="F21" s="2"/>
      <c r="G21" s="3" t="s">
        <v>258</v>
      </c>
      <c r="H21" s="3"/>
      <c r="I21" s="3" t="s">
        <v>274</v>
      </c>
      <c r="J21" s="3" t="s">
        <v>275</v>
      </c>
      <c r="K21" s="3" t="s">
        <v>271</v>
      </c>
      <c r="L21" s="3" t="s">
        <v>277</v>
      </c>
    </row>
    <row r="22" spans="1:12" s="1" customFormat="1" x14ac:dyDescent="0.2">
      <c r="A22" s="3" t="s">
        <v>116</v>
      </c>
      <c r="B22" s="3">
        <v>2</v>
      </c>
      <c r="C22" s="2"/>
      <c r="D22" s="2"/>
      <c r="E22" s="2"/>
      <c r="F22" s="2"/>
      <c r="G22" s="3" t="s">
        <v>557</v>
      </c>
      <c r="H22" s="3"/>
      <c r="I22" s="3" t="s">
        <v>279</v>
      </c>
      <c r="J22" s="3" t="s">
        <v>280</v>
      </c>
      <c r="K22" s="3" t="s">
        <v>276</v>
      </c>
      <c r="L22" s="3" t="s">
        <v>281</v>
      </c>
    </row>
    <row r="23" spans="1:12" s="1" customFormat="1" x14ac:dyDescent="0.2">
      <c r="A23" s="3" t="s">
        <v>117</v>
      </c>
      <c r="B23" s="3">
        <v>149</v>
      </c>
      <c r="C23" s="2"/>
      <c r="D23" s="2"/>
      <c r="E23" s="2"/>
      <c r="F23" s="2"/>
      <c r="G23" s="3" t="s">
        <v>263</v>
      </c>
      <c r="H23" s="3"/>
      <c r="I23" s="3" t="s">
        <v>283</v>
      </c>
      <c r="J23" s="3" t="s">
        <v>284</v>
      </c>
      <c r="K23" s="3"/>
      <c r="L23" s="3" t="s">
        <v>285</v>
      </c>
    </row>
    <row r="24" spans="1:12" s="1" customFormat="1" x14ac:dyDescent="0.2">
      <c r="A24" s="3" t="s">
        <v>286</v>
      </c>
      <c r="B24" s="3">
        <v>11</v>
      </c>
      <c r="C24" s="2"/>
      <c r="D24" s="2"/>
      <c r="E24" s="2"/>
      <c r="F24" s="2"/>
      <c r="G24" s="3" t="s">
        <v>268</v>
      </c>
      <c r="H24" s="3"/>
      <c r="I24" s="3" t="s">
        <v>288</v>
      </c>
      <c r="J24" s="3" t="s">
        <v>289</v>
      </c>
      <c r="K24" s="3"/>
      <c r="L24" s="3"/>
    </row>
    <row r="25" spans="1:12" s="1" customFormat="1" x14ac:dyDescent="0.2">
      <c r="A25" s="3" t="s">
        <v>119</v>
      </c>
      <c r="B25" s="3">
        <v>97</v>
      </c>
      <c r="C25" s="2"/>
      <c r="D25" s="2"/>
      <c r="E25" s="2"/>
      <c r="F25" s="2"/>
      <c r="G25" s="3" t="s">
        <v>550</v>
      </c>
      <c r="H25" s="3"/>
      <c r="I25" s="3" t="s">
        <v>291</v>
      </c>
      <c r="J25" s="3" t="s">
        <v>292</v>
      </c>
      <c r="K25" s="3"/>
      <c r="L25" s="3"/>
    </row>
    <row r="26" spans="1:12" s="1" customFormat="1" x14ac:dyDescent="0.2">
      <c r="A26" s="3" t="s">
        <v>120</v>
      </c>
      <c r="B26" s="3">
        <v>32</v>
      </c>
      <c r="C26" s="2"/>
      <c r="D26" s="2"/>
      <c r="E26" s="2"/>
      <c r="F26" s="2"/>
      <c r="G26" s="3" t="s">
        <v>273</v>
      </c>
      <c r="H26" s="3"/>
      <c r="I26" s="3" t="s">
        <v>294</v>
      </c>
      <c r="J26" s="3" t="s">
        <v>295</v>
      </c>
      <c r="K26" s="3"/>
      <c r="L26" s="3"/>
    </row>
    <row r="27" spans="1:12" s="1" customFormat="1" x14ac:dyDescent="0.2">
      <c r="A27" s="3" t="s">
        <v>43</v>
      </c>
      <c r="B27" s="3">
        <v>20</v>
      </c>
      <c r="C27" s="2"/>
      <c r="D27" s="2"/>
      <c r="E27" s="2"/>
      <c r="F27" s="2"/>
      <c r="G27" s="3" t="s">
        <v>278</v>
      </c>
      <c r="H27" s="3"/>
      <c r="I27" s="3" t="s">
        <v>297</v>
      </c>
      <c r="J27" s="3" t="s">
        <v>298</v>
      </c>
      <c r="K27" s="3"/>
      <c r="L27" s="3"/>
    </row>
    <row r="28" spans="1:12" s="1" customFormat="1" x14ac:dyDescent="0.2">
      <c r="A28" s="3" t="s">
        <v>122</v>
      </c>
      <c r="B28" s="3">
        <v>22</v>
      </c>
      <c r="C28" s="2"/>
      <c r="D28" s="2"/>
      <c r="E28" s="2"/>
      <c r="F28" s="2"/>
      <c r="G28" s="3" t="s">
        <v>282</v>
      </c>
      <c r="H28" s="3"/>
      <c r="I28" s="3" t="s">
        <v>300</v>
      </c>
      <c r="J28" s="3" t="s">
        <v>301</v>
      </c>
      <c r="K28" s="3"/>
      <c r="L28" s="3"/>
    </row>
    <row r="29" spans="1:12" s="1" customFormat="1" x14ac:dyDescent="0.2">
      <c r="A29" s="3" t="s">
        <v>302</v>
      </c>
      <c r="B29" s="3">
        <f>SUM(B17:B28)</f>
        <v>374</v>
      </c>
      <c r="C29" s="2"/>
      <c r="D29" s="2"/>
      <c r="E29" s="2"/>
      <c r="F29" s="2"/>
      <c r="G29" s="3" t="s">
        <v>287</v>
      </c>
      <c r="H29" s="3"/>
      <c r="I29" s="3" t="s">
        <v>304</v>
      </c>
      <c r="J29" s="3" t="s">
        <v>305</v>
      </c>
      <c r="K29" s="3"/>
      <c r="L29" s="3"/>
    </row>
    <row r="30" spans="1:12" s="1" customFormat="1" x14ac:dyDescent="0.2">
      <c r="A30" s="3"/>
      <c r="B30" s="2"/>
      <c r="C30" s="2"/>
      <c r="D30" s="2"/>
      <c r="E30" s="2"/>
      <c r="F30" s="2"/>
      <c r="G30" s="3" t="s">
        <v>290</v>
      </c>
      <c r="H30" s="3"/>
      <c r="I30" s="3" t="s">
        <v>307</v>
      </c>
      <c r="J30" s="3" t="s">
        <v>308</v>
      </c>
      <c r="K30" s="3"/>
      <c r="L30" s="2"/>
    </row>
    <row r="31" spans="1:12" s="1" customFormat="1" x14ac:dyDescent="0.2">
      <c r="A31" s="3"/>
      <c r="B31" s="2"/>
      <c r="C31" s="2"/>
      <c r="D31" s="2"/>
      <c r="E31" s="2"/>
      <c r="F31" s="2"/>
      <c r="G31" s="3" t="s">
        <v>552</v>
      </c>
      <c r="H31" s="3"/>
      <c r="I31" s="3" t="s">
        <v>310</v>
      </c>
      <c r="J31" s="3" t="s">
        <v>311</v>
      </c>
      <c r="K31" s="3"/>
      <c r="L31" s="2"/>
    </row>
    <row r="32" spans="1:12" s="1" customFormat="1" x14ac:dyDescent="0.2">
      <c r="A32" s="3"/>
      <c r="B32" s="2"/>
      <c r="C32" s="2"/>
      <c r="D32" s="2"/>
      <c r="E32" s="2"/>
      <c r="F32" s="2"/>
      <c r="G32" s="3" t="s">
        <v>538</v>
      </c>
      <c r="H32" s="3"/>
      <c r="I32" s="3" t="s">
        <v>313</v>
      </c>
      <c r="J32" s="3" t="s">
        <v>314</v>
      </c>
      <c r="K32" s="3"/>
      <c r="L32" s="2"/>
    </row>
    <row r="33" spans="1:12" s="1" customFormat="1" x14ac:dyDescent="0.2">
      <c r="A33" s="3"/>
      <c r="B33" s="2"/>
      <c r="C33" s="2"/>
      <c r="D33" s="2"/>
      <c r="E33" s="2"/>
      <c r="F33" s="2"/>
      <c r="G33" s="3" t="s">
        <v>564</v>
      </c>
      <c r="H33" s="3"/>
      <c r="I33" s="3" t="s">
        <v>316</v>
      </c>
      <c r="J33" s="3" t="s">
        <v>317</v>
      </c>
      <c r="K33" s="3"/>
      <c r="L33" s="2"/>
    </row>
    <row r="34" spans="1:12" s="1" customFormat="1" x14ac:dyDescent="0.2">
      <c r="A34" s="3"/>
      <c r="B34" s="2"/>
      <c r="C34" s="2"/>
      <c r="D34" s="2"/>
      <c r="E34" s="2"/>
      <c r="F34" s="2"/>
      <c r="G34" s="3" t="s">
        <v>293</v>
      </c>
      <c r="H34" s="3"/>
      <c r="I34" s="3" t="s">
        <v>319</v>
      </c>
      <c r="J34" s="3"/>
      <c r="K34" s="2"/>
      <c r="L34" s="2"/>
    </row>
    <row r="35" spans="1:12" s="1" customFormat="1" x14ac:dyDescent="0.2">
      <c r="A35" s="3"/>
      <c r="B35" s="2"/>
      <c r="C35" s="2"/>
      <c r="D35" s="2"/>
      <c r="E35" s="2"/>
      <c r="F35" s="2"/>
      <c r="G35" s="3" t="s">
        <v>296</v>
      </c>
      <c r="H35" s="3"/>
      <c r="I35" s="3" t="s">
        <v>321</v>
      </c>
      <c r="J35" s="3"/>
      <c r="K35" s="2"/>
      <c r="L35" s="2"/>
    </row>
    <row r="36" spans="1:12" x14ac:dyDescent="0.2">
      <c r="G36" s="3" t="s">
        <v>299</v>
      </c>
      <c r="H36" s="3"/>
      <c r="I36" s="3" t="s">
        <v>323</v>
      </c>
    </row>
    <row r="37" spans="1:12" x14ac:dyDescent="0.2">
      <c r="G37" s="3" t="s">
        <v>303</v>
      </c>
      <c r="I37" s="3" t="s">
        <v>325</v>
      </c>
    </row>
    <row r="38" spans="1:12" x14ac:dyDescent="0.2">
      <c r="G38" s="3" t="s">
        <v>565</v>
      </c>
      <c r="I38" s="3" t="s">
        <v>327</v>
      </c>
    </row>
    <row r="39" spans="1:12" x14ac:dyDescent="0.2">
      <c r="G39" s="3" t="s">
        <v>541</v>
      </c>
      <c r="I39" s="3" t="s">
        <v>329</v>
      </c>
    </row>
    <row r="40" spans="1:12" x14ac:dyDescent="0.2">
      <c r="G40" s="3" t="s">
        <v>306</v>
      </c>
      <c r="I40" s="3" t="s">
        <v>331</v>
      </c>
    </row>
    <row r="41" spans="1:12" x14ac:dyDescent="0.2">
      <c r="G41" s="3" t="s">
        <v>309</v>
      </c>
      <c r="I41" s="3" t="s">
        <v>333</v>
      </c>
    </row>
    <row r="42" spans="1:12" x14ac:dyDescent="0.2">
      <c r="G42" s="3" t="s">
        <v>548</v>
      </c>
      <c r="I42" s="3" t="s">
        <v>335</v>
      </c>
    </row>
    <row r="43" spans="1:12" x14ac:dyDescent="0.2">
      <c r="G43" s="3" t="s">
        <v>312</v>
      </c>
      <c r="I43" s="3" t="s">
        <v>337</v>
      </c>
    </row>
    <row r="44" spans="1:12" x14ac:dyDescent="0.2">
      <c r="G44" s="3" t="s">
        <v>315</v>
      </c>
      <c r="I44" s="3" t="s">
        <v>339</v>
      </c>
    </row>
    <row r="45" spans="1:12" x14ac:dyDescent="0.2">
      <c r="G45" s="3" t="s">
        <v>546</v>
      </c>
      <c r="I45" s="3" t="s">
        <v>341</v>
      </c>
    </row>
    <row r="46" spans="1:12" x14ac:dyDescent="0.2">
      <c r="G46" s="3" t="s">
        <v>318</v>
      </c>
      <c r="I46" s="3" t="s">
        <v>343</v>
      </c>
    </row>
    <row r="47" spans="1:12" x14ac:dyDescent="0.2">
      <c r="G47" s="3" t="s">
        <v>320</v>
      </c>
      <c r="I47" s="3" t="s">
        <v>345</v>
      </c>
    </row>
    <row r="48" spans="1:12" x14ac:dyDescent="0.2">
      <c r="G48" s="3" t="s">
        <v>322</v>
      </c>
      <c r="I48" s="3" t="s">
        <v>347</v>
      </c>
    </row>
    <row r="49" spans="7:9" x14ac:dyDescent="0.2">
      <c r="G49" s="3" t="s">
        <v>549</v>
      </c>
      <c r="I49" s="3" t="s">
        <v>349</v>
      </c>
    </row>
    <row r="50" spans="7:9" x14ac:dyDescent="0.2">
      <c r="G50" s="3" t="s">
        <v>324</v>
      </c>
      <c r="I50" s="3" t="s">
        <v>351</v>
      </c>
    </row>
    <row r="51" spans="7:9" x14ac:dyDescent="0.2">
      <c r="G51" s="3" t="s">
        <v>326</v>
      </c>
      <c r="I51" s="3" t="s">
        <v>353</v>
      </c>
    </row>
    <row r="52" spans="7:9" x14ac:dyDescent="0.2">
      <c r="G52" s="3" t="s">
        <v>328</v>
      </c>
      <c r="I52" s="3" t="s">
        <v>355</v>
      </c>
    </row>
    <row r="53" spans="7:9" x14ac:dyDescent="0.2">
      <c r="G53" s="3" t="s">
        <v>330</v>
      </c>
      <c r="I53" s="3" t="s">
        <v>357</v>
      </c>
    </row>
    <row r="54" spans="7:9" x14ac:dyDescent="0.2">
      <c r="G54" s="3" t="s">
        <v>332</v>
      </c>
      <c r="I54" s="3" t="s">
        <v>359</v>
      </c>
    </row>
    <row r="55" spans="7:9" x14ac:dyDescent="0.2">
      <c r="G55" s="3" t="s">
        <v>334</v>
      </c>
      <c r="I55" s="3" t="s">
        <v>361</v>
      </c>
    </row>
    <row r="56" spans="7:9" x14ac:dyDescent="0.2">
      <c r="G56" s="3" t="s">
        <v>336</v>
      </c>
      <c r="I56" s="3" t="s">
        <v>363</v>
      </c>
    </row>
    <row r="57" spans="7:9" x14ac:dyDescent="0.2">
      <c r="G57" s="3" t="s">
        <v>338</v>
      </c>
      <c r="I57" s="3" t="s">
        <v>365</v>
      </c>
    </row>
    <row r="58" spans="7:9" x14ac:dyDescent="0.2">
      <c r="G58" s="3" t="s">
        <v>340</v>
      </c>
      <c r="I58" s="3" t="s">
        <v>367</v>
      </c>
    </row>
    <row r="59" spans="7:9" x14ac:dyDescent="0.2">
      <c r="G59" s="3" t="s">
        <v>342</v>
      </c>
      <c r="I59" s="3" t="s">
        <v>369</v>
      </c>
    </row>
    <row r="60" spans="7:9" x14ac:dyDescent="0.2">
      <c r="G60" s="3" t="s">
        <v>344</v>
      </c>
      <c r="I60" s="3" t="s">
        <v>371</v>
      </c>
    </row>
    <row r="61" spans="7:9" x14ac:dyDescent="0.2">
      <c r="G61" s="3" t="s">
        <v>562</v>
      </c>
      <c r="I61" s="3" t="s">
        <v>373</v>
      </c>
    </row>
    <row r="62" spans="7:9" x14ac:dyDescent="0.2">
      <c r="G62" s="3" t="s">
        <v>346</v>
      </c>
      <c r="I62" s="3" t="s">
        <v>375</v>
      </c>
    </row>
    <row r="63" spans="7:9" x14ac:dyDescent="0.2">
      <c r="G63" s="3" t="s">
        <v>348</v>
      </c>
      <c r="I63" s="3" t="s">
        <v>377</v>
      </c>
    </row>
    <row r="64" spans="7:9" x14ac:dyDescent="0.2">
      <c r="G64" s="3" t="s">
        <v>350</v>
      </c>
      <c r="I64" s="3" t="s">
        <v>379</v>
      </c>
    </row>
    <row r="65" spans="7:9" x14ac:dyDescent="0.2">
      <c r="G65" s="3" t="s">
        <v>352</v>
      </c>
      <c r="I65" s="3" t="s">
        <v>381</v>
      </c>
    </row>
    <row r="66" spans="7:9" x14ac:dyDescent="0.2">
      <c r="G66" s="3" t="s">
        <v>354</v>
      </c>
      <c r="I66" s="3" t="s">
        <v>383</v>
      </c>
    </row>
    <row r="67" spans="7:9" x14ac:dyDescent="0.2">
      <c r="G67" s="3" t="s">
        <v>356</v>
      </c>
      <c r="I67" s="3" t="s">
        <v>385</v>
      </c>
    </row>
    <row r="68" spans="7:9" x14ac:dyDescent="0.2">
      <c r="G68" s="3" t="s">
        <v>358</v>
      </c>
      <c r="I68" s="3" t="s">
        <v>387</v>
      </c>
    </row>
    <row r="69" spans="7:9" x14ac:dyDescent="0.2">
      <c r="G69" s="3" t="s">
        <v>360</v>
      </c>
      <c r="I69" s="3" t="s">
        <v>389</v>
      </c>
    </row>
    <row r="70" spans="7:9" x14ac:dyDescent="0.2">
      <c r="G70" s="3" t="s">
        <v>362</v>
      </c>
      <c r="I70" s="3" t="s">
        <v>391</v>
      </c>
    </row>
    <row r="71" spans="7:9" x14ac:dyDescent="0.2">
      <c r="G71" s="3" t="s">
        <v>364</v>
      </c>
      <c r="I71" s="3" t="s">
        <v>393</v>
      </c>
    </row>
    <row r="72" spans="7:9" x14ac:dyDescent="0.2">
      <c r="G72" s="3" t="s">
        <v>366</v>
      </c>
      <c r="I72" s="3" t="s">
        <v>395</v>
      </c>
    </row>
    <row r="73" spans="7:9" x14ac:dyDescent="0.2">
      <c r="G73" s="3" t="s">
        <v>368</v>
      </c>
      <c r="I73" s="3" t="s">
        <v>397</v>
      </c>
    </row>
    <row r="74" spans="7:9" x14ac:dyDescent="0.2">
      <c r="G74" s="3" t="s">
        <v>370</v>
      </c>
      <c r="I74" s="3" t="s">
        <v>399</v>
      </c>
    </row>
    <row r="75" spans="7:9" x14ac:dyDescent="0.2">
      <c r="G75" s="3" t="s">
        <v>554</v>
      </c>
      <c r="I75" s="3" t="s">
        <v>401</v>
      </c>
    </row>
    <row r="76" spans="7:9" x14ac:dyDescent="0.2">
      <c r="G76" s="3" t="s">
        <v>372</v>
      </c>
      <c r="I76" s="3" t="s">
        <v>403</v>
      </c>
    </row>
    <row r="77" spans="7:9" x14ac:dyDescent="0.2">
      <c r="G77" s="3" t="s">
        <v>374</v>
      </c>
      <c r="I77" s="3" t="s">
        <v>405</v>
      </c>
    </row>
    <row r="78" spans="7:9" x14ac:dyDescent="0.2">
      <c r="G78" s="3" t="s">
        <v>376</v>
      </c>
      <c r="I78" s="3" t="s">
        <v>407</v>
      </c>
    </row>
    <row r="79" spans="7:9" x14ac:dyDescent="0.2">
      <c r="G79" s="3" t="s">
        <v>378</v>
      </c>
      <c r="I79" s="3" t="s">
        <v>409</v>
      </c>
    </row>
    <row r="80" spans="7:9" x14ac:dyDescent="0.2">
      <c r="G80" s="3" t="s">
        <v>380</v>
      </c>
      <c r="I80" s="3" t="s">
        <v>411</v>
      </c>
    </row>
    <row r="81" spans="7:9" x14ac:dyDescent="0.2">
      <c r="G81" s="3" t="s">
        <v>382</v>
      </c>
      <c r="I81" s="3" t="s">
        <v>413</v>
      </c>
    </row>
    <row r="82" spans="7:9" x14ac:dyDescent="0.2">
      <c r="G82" s="3" t="s">
        <v>384</v>
      </c>
      <c r="I82" s="3" t="s">
        <v>415</v>
      </c>
    </row>
    <row r="83" spans="7:9" x14ac:dyDescent="0.2">
      <c r="G83" s="3" t="s">
        <v>386</v>
      </c>
      <c r="I83" s="3" t="s">
        <v>417</v>
      </c>
    </row>
    <row r="84" spans="7:9" x14ac:dyDescent="0.2">
      <c r="G84" s="3" t="s">
        <v>388</v>
      </c>
      <c r="I84" s="3" t="s">
        <v>419</v>
      </c>
    </row>
    <row r="85" spans="7:9" x14ac:dyDescent="0.2">
      <c r="G85" s="3" t="s">
        <v>390</v>
      </c>
      <c r="I85" s="3" t="s">
        <v>421</v>
      </c>
    </row>
    <row r="86" spans="7:9" x14ac:dyDescent="0.2">
      <c r="G86" s="3" t="s">
        <v>392</v>
      </c>
      <c r="I86" s="3" t="s">
        <v>423</v>
      </c>
    </row>
    <row r="87" spans="7:9" x14ac:dyDescent="0.2">
      <c r="G87" s="3" t="s">
        <v>394</v>
      </c>
      <c r="I87" s="3" t="s">
        <v>425</v>
      </c>
    </row>
    <row r="88" spans="7:9" x14ac:dyDescent="0.2">
      <c r="G88" s="3" t="s">
        <v>396</v>
      </c>
      <c r="I88" s="3" t="s">
        <v>427</v>
      </c>
    </row>
    <row r="89" spans="7:9" x14ac:dyDescent="0.2">
      <c r="G89" s="3" t="s">
        <v>398</v>
      </c>
      <c r="I89" s="3" t="s">
        <v>429</v>
      </c>
    </row>
    <row r="90" spans="7:9" x14ac:dyDescent="0.2">
      <c r="G90" s="3" t="s">
        <v>400</v>
      </c>
      <c r="I90" s="3" t="s">
        <v>431</v>
      </c>
    </row>
    <row r="91" spans="7:9" x14ac:dyDescent="0.2">
      <c r="G91" s="3" t="s">
        <v>402</v>
      </c>
      <c r="I91" s="3" t="s">
        <v>433</v>
      </c>
    </row>
    <row r="92" spans="7:9" x14ac:dyDescent="0.2">
      <c r="G92" s="3" t="s">
        <v>404</v>
      </c>
      <c r="I92" s="3" t="s">
        <v>435</v>
      </c>
    </row>
    <row r="93" spans="7:9" x14ac:dyDescent="0.2">
      <c r="G93" s="3" t="s">
        <v>406</v>
      </c>
      <c r="I93" s="3" t="s">
        <v>437</v>
      </c>
    </row>
    <row r="94" spans="7:9" x14ac:dyDescent="0.2">
      <c r="G94" s="3" t="s">
        <v>408</v>
      </c>
      <c r="I94" s="3" t="s">
        <v>439</v>
      </c>
    </row>
    <row r="95" spans="7:9" x14ac:dyDescent="0.2">
      <c r="G95" s="3" t="s">
        <v>410</v>
      </c>
      <c r="I95" s="3" t="s">
        <v>441</v>
      </c>
    </row>
    <row r="96" spans="7:9" x14ac:dyDescent="0.2">
      <c r="G96" s="3" t="s">
        <v>412</v>
      </c>
      <c r="I96" s="3" t="s">
        <v>443</v>
      </c>
    </row>
    <row r="97" spans="7:9" x14ac:dyDescent="0.2">
      <c r="G97" s="3" t="s">
        <v>414</v>
      </c>
      <c r="I97" s="3" t="s">
        <v>445</v>
      </c>
    </row>
    <row r="98" spans="7:9" x14ac:dyDescent="0.2">
      <c r="G98" s="3" t="s">
        <v>547</v>
      </c>
      <c r="I98" s="3" t="s">
        <v>447</v>
      </c>
    </row>
    <row r="99" spans="7:9" x14ac:dyDescent="0.2">
      <c r="G99" s="3" t="s">
        <v>540</v>
      </c>
    </row>
    <row r="100" spans="7:9" x14ac:dyDescent="0.2">
      <c r="G100" s="3" t="s">
        <v>566</v>
      </c>
    </row>
    <row r="101" spans="7:9" x14ac:dyDescent="0.2">
      <c r="G101" s="3" t="s">
        <v>416</v>
      </c>
    </row>
    <row r="102" spans="7:9" x14ac:dyDescent="0.2">
      <c r="G102" s="3" t="s">
        <v>418</v>
      </c>
    </row>
    <row r="103" spans="7:9" x14ac:dyDescent="0.2">
      <c r="G103" s="3" t="s">
        <v>420</v>
      </c>
    </row>
    <row r="104" spans="7:9" x14ac:dyDescent="0.2">
      <c r="G104" s="3" t="s">
        <v>422</v>
      </c>
    </row>
    <row r="105" spans="7:9" x14ac:dyDescent="0.2">
      <c r="G105" s="3" t="s">
        <v>424</v>
      </c>
    </row>
    <row r="106" spans="7:9" x14ac:dyDescent="0.2">
      <c r="G106" s="3" t="s">
        <v>426</v>
      </c>
    </row>
    <row r="107" spans="7:9" x14ac:dyDescent="0.2">
      <c r="G107" s="3" t="s">
        <v>428</v>
      </c>
    </row>
    <row r="108" spans="7:9" x14ac:dyDescent="0.2">
      <c r="G108" s="3" t="s">
        <v>544</v>
      </c>
    </row>
    <row r="109" spans="7:9" x14ac:dyDescent="0.2">
      <c r="G109" s="3" t="s">
        <v>430</v>
      </c>
    </row>
    <row r="110" spans="7:9" x14ac:dyDescent="0.2">
      <c r="G110" s="3" t="s">
        <v>432</v>
      </c>
    </row>
    <row r="111" spans="7:9" x14ac:dyDescent="0.2">
      <c r="G111" s="3" t="s">
        <v>434</v>
      </c>
    </row>
    <row r="112" spans="7:9" x14ac:dyDescent="0.2">
      <c r="G112" s="3" t="s">
        <v>436</v>
      </c>
    </row>
    <row r="113" spans="7:7" x14ac:dyDescent="0.2">
      <c r="G113" s="3" t="s">
        <v>438</v>
      </c>
    </row>
    <row r="114" spans="7:7" x14ac:dyDescent="0.2">
      <c r="G114" s="3" t="s">
        <v>440</v>
      </c>
    </row>
    <row r="115" spans="7:7" x14ac:dyDescent="0.2">
      <c r="G115" s="3" t="s">
        <v>442</v>
      </c>
    </row>
    <row r="116" spans="7:7" x14ac:dyDescent="0.2">
      <c r="G116" s="3" t="s">
        <v>539</v>
      </c>
    </row>
    <row r="117" spans="7:7" x14ac:dyDescent="0.2">
      <c r="G117" s="3" t="s">
        <v>444</v>
      </c>
    </row>
    <row r="118" spans="7:7" x14ac:dyDescent="0.2">
      <c r="G118" s="3" t="s">
        <v>446</v>
      </c>
    </row>
    <row r="119" spans="7:7" x14ac:dyDescent="0.2">
      <c r="G119" s="3" t="s">
        <v>448</v>
      </c>
    </row>
    <row r="120" spans="7:7" x14ac:dyDescent="0.2">
      <c r="G120" s="3" t="s">
        <v>449</v>
      </c>
    </row>
    <row r="121" spans="7:7" x14ac:dyDescent="0.2">
      <c r="G121" s="3" t="s">
        <v>450</v>
      </c>
    </row>
    <row r="122" spans="7:7" x14ac:dyDescent="0.2">
      <c r="G122" s="3" t="s">
        <v>451</v>
      </c>
    </row>
    <row r="123" spans="7:7" x14ac:dyDescent="0.2">
      <c r="G123" s="3" t="s">
        <v>452</v>
      </c>
    </row>
    <row r="124" spans="7:7" x14ac:dyDescent="0.2">
      <c r="G124" s="3" t="s">
        <v>551</v>
      </c>
    </row>
    <row r="125" spans="7:7" x14ac:dyDescent="0.2">
      <c r="G125" s="3" t="s">
        <v>453</v>
      </c>
    </row>
    <row r="126" spans="7:7" x14ac:dyDescent="0.2">
      <c r="G126" s="3" t="s">
        <v>454</v>
      </c>
    </row>
    <row r="127" spans="7:7" x14ac:dyDescent="0.2">
      <c r="G127" s="3" t="s">
        <v>455</v>
      </c>
    </row>
    <row r="128" spans="7:7" x14ac:dyDescent="0.2">
      <c r="G128" s="3" t="s">
        <v>456</v>
      </c>
    </row>
    <row r="129" spans="7:7" x14ac:dyDescent="0.2">
      <c r="G129" s="3" t="s">
        <v>457</v>
      </c>
    </row>
    <row r="130" spans="7:7" x14ac:dyDescent="0.2">
      <c r="G130" s="3" t="s">
        <v>458</v>
      </c>
    </row>
    <row r="131" spans="7:7" x14ac:dyDescent="0.2">
      <c r="G131" s="3" t="s">
        <v>459</v>
      </c>
    </row>
    <row r="132" spans="7:7" x14ac:dyDescent="0.2">
      <c r="G132" s="3" t="s">
        <v>460</v>
      </c>
    </row>
    <row r="133" spans="7:7" x14ac:dyDescent="0.2">
      <c r="G133" s="3" t="s">
        <v>461</v>
      </c>
    </row>
    <row r="134" spans="7:7" x14ac:dyDescent="0.2">
      <c r="G134" s="3" t="s">
        <v>462</v>
      </c>
    </row>
    <row r="135" spans="7:7" x14ac:dyDescent="0.2">
      <c r="G135" s="3" t="s">
        <v>463</v>
      </c>
    </row>
    <row r="136" spans="7:7" x14ac:dyDescent="0.2">
      <c r="G136" s="3" t="s">
        <v>570</v>
      </c>
    </row>
    <row r="137" spans="7:7" x14ac:dyDescent="0.2">
      <c r="G137" s="3" t="s">
        <v>464</v>
      </c>
    </row>
    <row r="138" spans="7:7" x14ac:dyDescent="0.2">
      <c r="G138" s="3" t="s">
        <v>465</v>
      </c>
    </row>
    <row r="139" spans="7:7" x14ac:dyDescent="0.2">
      <c r="G139" s="3" t="s">
        <v>466</v>
      </c>
    </row>
    <row r="140" spans="7:7" x14ac:dyDescent="0.2">
      <c r="G140" s="3" t="s">
        <v>467</v>
      </c>
    </row>
    <row r="141" spans="7:7" x14ac:dyDescent="0.2">
      <c r="G141" s="3" t="s">
        <v>536</v>
      </c>
    </row>
    <row r="142" spans="7:7" x14ac:dyDescent="0.2">
      <c r="G142" s="3" t="s">
        <v>468</v>
      </c>
    </row>
    <row r="143" spans="7:7" x14ac:dyDescent="0.2">
      <c r="G143" s="3" t="s">
        <v>555</v>
      </c>
    </row>
    <row r="144" spans="7:7" x14ac:dyDescent="0.2">
      <c r="G144" s="3" t="s">
        <v>469</v>
      </c>
    </row>
    <row r="145" spans="7:7" x14ac:dyDescent="0.2">
      <c r="G145" s="3" t="s">
        <v>470</v>
      </c>
    </row>
    <row r="146" spans="7:7" x14ac:dyDescent="0.2">
      <c r="G146" s="3" t="s">
        <v>471</v>
      </c>
    </row>
    <row r="147" spans="7:7" x14ac:dyDescent="0.2">
      <c r="G147" s="3" t="s">
        <v>472</v>
      </c>
    </row>
    <row r="148" spans="7:7" x14ac:dyDescent="0.2">
      <c r="G148" s="3" t="s">
        <v>473</v>
      </c>
    </row>
    <row r="149" spans="7:7" x14ac:dyDescent="0.2">
      <c r="G149" s="3" t="s">
        <v>532</v>
      </c>
    </row>
    <row r="150" spans="7:7" x14ac:dyDescent="0.2">
      <c r="G150" s="3" t="s">
        <v>537</v>
      </c>
    </row>
    <row r="151" spans="7:7" x14ac:dyDescent="0.2">
      <c r="G151" s="3" t="s">
        <v>474</v>
      </c>
    </row>
    <row r="152" spans="7:7" x14ac:dyDescent="0.2">
      <c r="G152" s="3" t="s">
        <v>475</v>
      </c>
    </row>
    <row r="153" spans="7:7" x14ac:dyDescent="0.2">
      <c r="G153" s="3" t="s">
        <v>476</v>
      </c>
    </row>
    <row r="154" spans="7:7" x14ac:dyDescent="0.2">
      <c r="G154" s="3" t="s">
        <v>542</v>
      </c>
    </row>
    <row r="155" spans="7:7" x14ac:dyDescent="0.2">
      <c r="G155" s="3" t="s">
        <v>477</v>
      </c>
    </row>
    <row r="156" spans="7:7" x14ac:dyDescent="0.2">
      <c r="G156" s="3" t="s">
        <v>478</v>
      </c>
    </row>
    <row r="157" spans="7:7" x14ac:dyDescent="0.2">
      <c r="G157" s="3" t="s">
        <v>479</v>
      </c>
    </row>
    <row r="158" spans="7:7" x14ac:dyDescent="0.2">
      <c r="G158" s="3" t="s">
        <v>480</v>
      </c>
    </row>
    <row r="159" spans="7:7" x14ac:dyDescent="0.2">
      <c r="G159" s="3" t="s">
        <v>481</v>
      </c>
    </row>
    <row r="160" spans="7:7" x14ac:dyDescent="0.2">
      <c r="G160" s="3" t="s">
        <v>482</v>
      </c>
    </row>
    <row r="161" spans="7:7" x14ac:dyDescent="0.2">
      <c r="G161" s="3" t="s">
        <v>483</v>
      </c>
    </row>
    <row r="162" spans="7:7" x14ac:dyDescent="0.2">
      <c r="G162" s="3" t="s">
        <v>484</v>
      </c>
    </row>
    <row r="163" spans="7:7" x14ac:dyDescent="0.2">
      <c r="G163" s="3" t="s">
        <v>571</v>
      </c>
    </row>
    <row r="164" spans="7:7" x14ac:dyDescent="0.2">
      <c r="G164" s="3" t="s">
        <v>556</v>
      </c>
    </row>
    <row r="165" spans="7:7" x14ac:dyDescent="0.2">
      <c r="G165" s="3" t="s">
        <v>485</v>
      </c>
    </row>
    <row r="166" spans="7:7" x14ac:dyDescent="0.2">
      <c r="G166" s="3" t="s">
        <v>486</v>
      </c>
    </row>
    <row r="167" spans="7:7" x14ac:dyDescent="0.2">
      <c r="G167" s="3" t="s">
        <v>561</v>
      </c>
    </row>
    <row r="168" spans="7:7" x14ac:dyDescent="0.2">
      <c r="G168" s="3" t="s">
        <v>487</v>
      </c>
    </row>
    <row r="169" spans="7:7" x14ac:dyDescent="0.2">
      <c r="G169" s="3" t="s">
        <v>488</v>
      </c>
    </row>
    <row r="170" spans="7:7" x14ac:dyDescent="0.2">
      <c r="G170" s="3" t="s">
        <v>535</v>
      </c>
    </row>
    <row r="171" spans="7:7" x14ac:dyDescent="0.2">
      <c r="G171" s="3" t="s">
        <v>567</v>
      </c>
    </row>
    <row r="172" spans="7:7" x14ac:dyDescent="0.2">
      <c r="G172" s="3" t="s">
        <v>489</v>
      </c>
    </row>
    <row r="173" spans="7:7" x14ac:dyDescent="0.2">
      <c r="G173" s="3" t="s">
        <v>490</v>
      </c>
    </row>
    <row r="174" spans="7:7" x14ac:dyDescent="0.2">
      <c r="G174" s="3" t="s">
        <v>543</v>
      </c>
    </row>
    <row r="175" spans="7:7" x14ac:dyDescent="0.2">
      <c r="G175" s="3" t="s">
        <v>491</v>
      </c>
    </row>
    <row r="176" spans="7:7" x14ac:dyDescent="0.2">
      <c r="G176" s="3" t="s">
        <v>568</v>
      </c>
    </row>
    <row r="177" spans="7:7" x14ac:dyDescent="0.2">
      <c r="G177" s="3" t="s">
        <v>492</v>
      </c>
    </row>
    <row r="178" spans="7:7" x14ac:dyDescent="0.2">
      <c r="G178" s="3" t="s">
        <v>558</v>
      </c>
    </row>
    <row r="179" spans="7:7" x14ac:dyDescent="0.2">
      <c r="G179" s="3" t="s">
        <v>553</v>
      </c>
    </row>
    <row r="180" spans="7:7" x14ac:dyDescent="0.2">
      <c r="G180" s="3" t="s">
        <v>545</v>
      </c>
    </row>
    <row r="181" spans="7:7" x14ac:dyDescent="0.2">
      <c r="G181" s="3" t="s">
        <v>493</v>
      </c>
    </row>
    <row r="182" spans="7:7" x14ac:dyDescent="0.2">
      <c r="G182" s="3" t="s">
        <v>494</v>
      </c>
    </row>
    <row r="183" spans="7:7" x14ac:dyDescent="0.2">
      <c r="G183" s="3" t="s">
        <v>495</v>
      </c>
    </row>
    <row r="184" spans="7:7" x14ac:dyDescent="0.2">
      <c r="G184" s="3" t="s">
        <v>496</v>
      </c>
    </row>
    <row r="185" spans="7:7" x14ac:dyDescent="0.2">
      <c r="G185" s="3" t="s">
        <v>497</v>
      </c>
    </row>
    <row r="186" spans="7:7" x14ac:dyDescent="0.2">
      <c r="G186" s="3" t="s">
        <v>498</v>
      </c>
    </row>
    <row r="187" spans="7:7" x14ac:dyDescent="0.2">
      <c r="G187" s="3" t="s">
        <v>499</v>
      </c>
    </row>
    <row r="188" spans="7:7" x14ac:dyDescent="0.2">
      <c r="G188" s="3" t="s">
        <v>500</v>
      </c>
    </row>
    <row r="189" spans="7:7" x14ac:dyDescent="0.2">
      <c r="G189" s="3" t="s">
        <v>501</v>
      </c>
    </row>
    <row r="190" spans="7:7" x14ac:dyDescent="0.2">
      <c r="G190" s="3" t="s">
        <v>502</v>
      </c>
    </row>
    <row r="191" spans="7:7" x14ac:dyDescent="0.2">
      <c r="G191" s="3" t="s">
        <v>503</v>
      </c>
    </row>
    <row r="192" spans="7:7" x14ac:dyDescent="0.2">
      <c r="G192" s="3" t="s">
        <v>504</v>
      </c>
    </row>
    <row r="193" spans="7:7" x14ac:dyDescent="0.2">
      <c r="G193" s="3" t="s">
        <v>569</v>
      </c>
    </row>
    <row r="194" spans="7:7" x14ac:dyDescent="0.2">
      <c r="G194" s="3" t="s">
        <v>563</v>
      </c>
    </row>
    <row r="195" spans="7:7" x14ac:dyDescent="0.2">
      <c r="G195" s="3" t="s">
        <v>505</v>
      </c>
    </row>
    <row r="196" spans="7:7" x14ac:dyDescent="0.2">
      <c r="G196" s="3" t="s">
        <v>506</v>
      </c>
    </row>
    <row r="197" spans="7:7" x14ac:dyDescent="0.2">
      <c r="G197" s="3" t="s">
        <v>507</v>
      </c>
    </row>
    <row r="198" spans="7:7" x14ac:dyDescent="0.2">
      <c r="G198" s="3" t="s">
        <v>508</v>
      </c>
    </row>
    <row r="199" spans="7:7" x14ac:dyDescent="0.2">
      <c r="G199" s="3" t="s">
        <v>560</v>
      </c>
    </row>
    <row r="200" spans="7:7" x14ac:dyDescent="0.2">
      <c r="G200" s="3" t="s">
        <v>509</v>
      </c>
    </row>
    <row r="201" spans="7:7" x14ac:dyDescent="0.2">
      <c r="G201" s="3" t="s">
        <v>510</v>
      </c>
    </row>
    <row r="202" spans="7:7" x14ac:dyDescent="0.2">
      <c r="G202" s="3" t="s">
        <v>511</v>
      </c>
    </row>
    <row r="203" spans="7:7" x14ac:dyDescent="0.2">
      <c r="G203" s="3" t="s">
        <v>512</v>
      </c>
    </row>
    <row r="204" spans="7:7" x14ac:dyDescent="0.2">
      <c r="G204" s="3" t="s">
        <v>513</v>
      </c>
    </row>
  </sheetData>
  <sortState xmlns:xlrd2="http://schemas.microsoft.com/office/spreadsheetml/2017/richdata2" ref="K2:K21">
    <sortCondition ref="K2:K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Trades</vt:lpstr>
      <vt:lpstr>Daily PnL</vt:lpstr>
      <vt:lpstr>exposure</vt:lpstr>
      <vt:lpstr>coverage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Baris Kaya</cp:lastModifiedBy>
  <cp:revision/>
  <dcterms:created xsi:type="dcterms:W3CDTF">2026-07-26T21:18:39Z</dcterms:created>
  <dcterms:modified xsi:type="dcterms:W3CDTF">2026-10-18T21:16:01Z</dcterms:modified>
  <cp:category/>
  <cp:contentStatus/>
</cp:coreProperties>
</file>