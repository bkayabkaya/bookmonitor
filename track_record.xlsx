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18343F33-73CC-AF45-8095-A00F4983201F}" xr6:coauthVersionLast="47" xr6:coauthVersionMax="47" xr10:uidLastSave="{00000000-0000-0000-0000-000000000000}"/>
  <bookViews>
    <workbookView xWindow="-1520" yWindow="-42680" windowWidth="48520" windowHeight="3258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90" i="7" l="1"/>
  <c r="V90" i="7"/>
  <c r="T90" i="7"/>
  <c r="S90" i="7"/>
  <c r="O90" i="7"/>
  <c r="N90" i="7"/>
  <c r="M90" i="7"/>
  <c r="D90" i="7"/>
  <c r="V68" i="1"/>
  <c r="U68" i="1"/>
  <c r="P61" i="1"/>
  <c r="D61" i="1"/>
  <c r="G79" i="3" a="1"/>
  <c r="G79" i="3" s="1"/>
  <c r="G78" i="3" a="1"/>
  <c r="G78" i="3" s="1"/>
  <c r="G77" i="3"/>
  <c r="G75" i="3"/>
  <c r="G74" i="3"/>
  <c r="D83" i="3"/>
  <c r="C83" i="3"/>
  <c r="B83" i="3"/>
  <c r="S53" i="1"/>
  <c r="W89" i="7" l="1"/>
  <c r="V89" i="7"/>
  <c r="T89" i="7"/>
  <c r="S89" i="7"/>
  <c r="O89" i="7"/>
  <c r="N89" i="7"/>
  <c r="M89" i="7"/>
  <c r="D89" i="7"/>
  <c r="S60" i="1"/>
  <c r="P60" i="1"/>
  <c r="D60" i="1"/>
  <c r="S59" i="1"/>
  <c r="S58" i="1"/>
  <c r="S51" i="1"/>
  <c r="S48" i="1"/>
  <c r="D82" i="3"/>
  <c r="C82" i="3"/>
  <c r="B82" i="3"/>
  <c r="B81" i="3"/>
  <c r="C81" i="3" s="1"/>
  <c r="W88" i="7"/>
  <c r="V88" i="7"/>
  <c r="T88" i="7"/>
  <c r="S88" i="7"/>
  <c r="O88" i="7"/>
  <c r="N88" i="7"/>
  <c r="M88" i="7"/>
  <c r="D59" i="1"/>
  <c r="D58" i="1"/>
  <c r="D57" i="1"/>
  <c r="D56" i="1"/>
  <c r="D55" i="1"/>
  <c r="D54" i="1"/>
  <c r="S54" i="1"/>
  <c r="P59" i="1"/>
  <c r="P58" i="1"/>
  <c r="B80" i="3"/>
  <c r="C80" i="3" s="1"/>
  <c r="W87" i="7"/>
  <c r="V87" i="7"/>
  <c r="T87" i="7"/>
  <c r="S87" i="7"/>
  <c r="M87" i="7"/>
  <c r="O87" i="7" s="1"/>
  <c r="B79" i="3"/>
  <c r="P57" i="1"/>
  <c r="P56" i="1"/>
  <c r="P55" i="1"/>
  <c r="P54" i="1"/>
  <c r="P53" i="1"/>
  <c r="P52" i="1"/>
  <c r="P51" i="1"/>
  <c r="O86" i="7"/>
  <c r="W86" i="7"/>
  <c r="V86" i="7"/>
  <c r="T86" i="7"/>
  <c r="S86" i="7"/>
  <c r="N86" i="7"/>
  <c r="M86" i="7"/>
  <c r="D79" i="3"/>
  <c r="C79" i="3"/>
  <c r="D53" i="1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S50" i="1"/>
  <c r="D50" i="1"/>
  <c r="S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P48" i="1"/>
  <c r="D48" i="1"/>
  <c r="S39" i="1"/>
  <c r="S44" i="1"/>
  <c r="S46" i="1"/>
  <c r="S40" i="1"/>
  <c r="P39" i="1"/>
  <c r="P40" i="1"/>
  <c r="P43" i="1"/>
  <c r="P44" i="1"/>
  <c r="P46" i="1"/>
  <c r="P47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S36" i="1"/>
  <c r="D40" i="1"/>
  <c r="D81" i="3" l="1"/>
  <c r="N87" i="7"/>
  <c r="D80" i="3"/>
  <c r="O81" i="7"/>
  <c r="N81" i="7"/>
  <c r="M80" i="7"/>
  <c r="T81" i="7"/>
  <c r="N83" i="7"/>
  <c r="O83" i="7"/>
  <c r="W83" i="7"/>
  <c r="T83" i="7"/>
  <c r="M82" i="7"/>
  <c r="D74" i="3"/>
  <c r="D73" i="3"/>
  <c r="S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G76" i="3" l="1"/>
  <c r="U77" i="7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S35" i="1"/>
  <c r="M76" i="7" l="1"/>
  <c r="N78" i="7"/>
  <c r="W78" i="7"/>
  <c r="T78" i="7"/>
  <c r="W79" i="7"/>
  <c r="T79" i="7"/>
  <c r="N79" i="7"/>
  <c r="O79" i="7"/>
  <c r="C75" i="7"/>
  <c r="D75" i="7" s="1"/>
  <c r="S38" i="1"/>
  <c r="S37" i="1"/>
  <c r="S34" i="1"/>
  <c r="S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S30" i="1"/>
  <c r="S29" i="1"/>
  <c r="S19" i="1"/>
  <c r="S31" i="1"/>
  <c r="N75" i="7" l="1"/>
  <c r="T75" i="7"/>
  <c r="O75" i="7"/>
  <c r="C67" i="3"/>
  <c r="D67" i="3" s="1"/>
  <c r="B68" i="3"/>
  <c r="O71" i="7"/>
  <c r="O73" i="7"/>
  <c r="O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69" i="1" l="1"/>
  <c r="E68" i="1"/>
  <c r="D3" i="3"/>
  <c r="U71" i="1"/>
  <c r="U77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<sst xmlns="http://schemas.openxmlformats.org/spreadsheetml/2006/main" count="971" uniqueCount="634">
  <si>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</si>
  <si>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</si>
  <si>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</si>
  <si>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</si>
  <si>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</si>
  <si>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</si>
  <si>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</si>
  <si>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</si>
  <si>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</si>
  <si>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</si>
  <si>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</si>
  <si>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</si>
  <si>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</si>
  <si>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</si>
  <si>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</si>
  <si>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</si>
  <si>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</si>
  <si>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</si>
  <si>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</si>
  <si>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</si>
  <si>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</si>
  <si>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</si>
  <si>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</si>
  <si>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</si>
  <si>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</si>
  <si>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</si>
  <si>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</si>
  <si>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</si>
  <si>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</si>
  <si>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</si>
  <si>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</si>
  <si>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</si>
  <si>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</si>
  <si>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</si>
  <si>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</si>
  <si>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</si>
  <si>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</si>
  <si>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</si>
  <si>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</si>
  <si>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</si>
  <si>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</si>
  <si>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</si>
  <si>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</si>
  <si>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</si>
  <si>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</si>
  <si>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</si>
  <si>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</si>
  <si>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</si>
  <si>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</si>
  <si>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</si>
  <si>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</si>
  <si>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</si>
  <si>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</si>
  <si>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</si>
  <si>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</si>
  <si>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</si>
  <si>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</si>
  <si>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</si>
  <si>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</si>
  <si>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</si>
  <si>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</si>
  <si>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</si>
  <si>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</si>
  <si>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</si>
  <si>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</si>
  <si>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</si>
  <si>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</si>
  <si>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</si>
  <si>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</si>
  <si>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</si>
  <si>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</si>
  <si>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</si>
  <si>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</si>
  <si>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</si>
  <si>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</si>
  <si>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</si>
  <si>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</si>
  <si>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</si>
  <si>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</si>
  <si>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</si>
  <si>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</si>
  <si>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</si>
  <si>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</si>
  <si>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</si>
  <si>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</si>
  <si>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</si>
  <si>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</si>
  <si>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</si>
  <si>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</si>
  <si>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</si>
  <si>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</si>
  <si>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</si>
  <si>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</si>
  <si>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</si>
  <si>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</si>
  <si>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</si>
  <si>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</si>
  <si>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</si>
  <si>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</si>
  <si>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</si>
  <si>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</si>
  <si>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</si>
  <si>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</si>
  <si>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</si>
  <si>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</si>
  <si>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</si>
  <si>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</si>
  <si>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</si>
  <si>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</si>
  <si>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</si>
  <si>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</si>
  <si>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</si>
  <si>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</si>
  <si>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</si>
  <si>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</si>
  <si>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</si>
  <si>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</si>
  <si>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</si>
  <si>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</si>
  <si>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</si>
  <si>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</si>
  <si>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</si>
  <si>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</si>
  <si>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</si>
  <si>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</si>
  <si>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</si>
  <si>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</si>
  <si>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</si>
  <si>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</si>
  <si>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</si>
  <si>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</si>
  <si>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</si>
  <si>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</si>
  <si>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</si>
  <si>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</si>
  <si>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</si>
  <si>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</si>
  <si>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</si>
  <si>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</si>
  <si>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</si>
  <si>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</si>
  <si>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</si>
  <si>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</si>
  <si>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</si>
  <si>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</si>
  <si>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</si>
  <si>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</si>
  <si>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</si>
  <si>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</si>
  <si>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</si>
  <si>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</si>
  <si>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</si>
  <si>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</si>
  <si>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</si>
  <si>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</si>
  <si>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</si>
  <si>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</si>
  <si>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</si>
  <si>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</si>
  <si>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</si>
  <si>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</si>
  <si>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</si>
  <si>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</si>
  <si>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</si>
  <si>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</si>
  <si>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</si>
  <si>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</si>
  <si>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</si>
  <si>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</si>
  <si>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</si>
  <si>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</si>
  <si>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</si>
  <si>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</si>
  <si>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</si>
  <si>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</si>
  <si>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</si>
  <si>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</si>
  <si>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</si>
  <si>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</si>
  <si>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</si>
  <si>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</si>
  <si>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</si>
  <si>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</si>
  <si>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</si>
  <si>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</si>
  <si>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</si>
  <si>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</si>
  <si>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</si>
  <si>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</si>
  <si>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</si>
  <si>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</si>
  <si>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</si>
  <si>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</si>
  <si>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</si>
  <si>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</si>
  <si>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</si>
  <si>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</si>
  <si>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</si>
  <si>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</si>
  <si>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</si>
  <si>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</si>
  <si>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</si>
  <si>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</si>
  <si>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</si>
  <si>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</si>
  <si>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</si>
  <si>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</si>
  <si>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</si>
  <si>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</si>
  <si>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</si>
  <si>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</si>
  <si>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</si>
  <si>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</si>
  <si>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</si>
  <si>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</si>
  <si>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</si>
  <si>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</si>
  <si>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</si>
  <si>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</si>
  <si>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</si>
  <si>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</si>
  <si>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</si>
  <si>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</si>
  <si>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</si>
  <si>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</si>
  <si>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</si>
  <si>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</si>
  <si>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</si>
  <si>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</si>
  <si>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</si>
  <si>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</si>
  <si>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</si>
  <si>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</si>
  <si>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</si>
  <si>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</si>
  <si>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</si>
  <si>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</si>
  <si>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</si>
  <si>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</si>
  <si>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</si>
  <si>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</si>
  <si>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</si>
  <si>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</si>
  <si>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</si>
  <si>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</si>
  <si>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</si>
  <si>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</si>
  <si>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</si>
  <si>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</si>
  <si>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</si>
  <si>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</si>
  <si>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</si>
  <si>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</si>
  <si>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</si>
  <si>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</si>
  <si>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</si>
  <si>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</si>
  <si>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</si>
  <si>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</si>
  <si>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</si>
  <si>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</si>
  <si>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</si>
  <si>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</si>
  <si>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</si>
  <si>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</si>
  <si>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</si>
  <si>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</si>
  <si>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</si>
  <si>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</si>
  <si>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</si>
  <si>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</si>
  <si>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</si>
  <si>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</si>
  <si>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</si>
  <si>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</si>
  <si>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</si>
  <si>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</si>
  <si>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</si>
  <si>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</si>
  <si>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</si>
  <si>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</si>
  <si>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</si>
  <si>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</si>
  <si>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</si>
  <si>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</si>
  <si>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</si>
  <si>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</si>
  <si>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</si>
  <si>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</si>
  <si>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</si>
  <si>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</si>
  <si>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</si>
  <si>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</si>
  <si>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</si>
  <si>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</si>
  <si>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</si>
  <si>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</si>
  <si>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</si>
  <si>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</si>
  <si>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</si>
  <si>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</si>
  <si>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</si>
  <si>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</si>
  <si>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</si>
  <si>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</si>
  <si>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</si>
  <si>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</si>
  <si>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</si>
  <si>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</si>
  <si>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</si>
  <si>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</si>
  <si>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</si>
  <si>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</si>
  <si>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</si>
  <si>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</si>
  <si>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</si>
  <si>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</si>
  <si>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</si>
  <si>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</si>
  <si>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</si>
  <si>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</si>
  <si>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</si>
  <si>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</si>
  <si>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</si>
  <si>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</si>
  <si>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</si>
  <si>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</si>
  <si>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</si>
  <si>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</si>
  <si>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</si>
  <si>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</si>
  <si>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</si>
  <si>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</si>
  <si>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</si>
  <si>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</si>
  <si>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</si>
  <si>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</si>
  <si>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</si>
  <si>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</si>
  <si>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</si>
  <si>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</si>
  <si>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</si>
  <si>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</si>
  <si>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</si>
  <si>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</si>
  <si>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</si>
  <si>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</si>
  <si>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</si>
  <si>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</si>
  <si>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</si>
  <si>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</si>
  <si>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</si>
  <si>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</si>
  <si>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</si>
  <si>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</si>
  <si>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</si>
  <si>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</si>
  <si>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</si>
  <si>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</si>
  <si>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</si>
  <si>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</si>
  <si>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</si>
  <si>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</si>
  <si>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</si>
  <si>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</si>
  <si>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</si>
  <si>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</si>
  <si>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</si>
  <si>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</si>
  <si>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</si>
  <si>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</si>
  <si>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</si>
  <si>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</si>
  <si>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</si>
  <si>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</si>
  <si>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</si>
  <si>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</si>
  <si>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</si>
  <si>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</si>
  <si>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</si>
  <si>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</si>
  <si>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</si>
  <si>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</si>
  <si>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</si>
  <si>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</si>
  <si>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</si>
  <si>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</si>
  <si>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</si>
  <si>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</si>
  <si>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</si>
  <si>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</si>
  <si>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</si>
  <si>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</si>
  <si>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</si>
  <si>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</si>
  <si>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</si>
  <si>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</si>
  <si>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</si>
  <si>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</si>
  <si>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</si>
  <si>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</si>
  <si>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</si>
  <si>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</si>
  <si>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</si>
  <si>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</si>
  <si>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</si>
  <si>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</si>
  <si>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</si>
  <si>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</si>
  <si>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</si>
  <si>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</si>
  <si>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</si>
  <si>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</si>
  <si>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</si>
  <si>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</si>
  <si>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</si>
  <si>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</si>
  <si>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</si>
  <si>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</si>
  <si>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</si>
  <si>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</si>
  <si>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</si>
  <si>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</si>
  <si>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</si>
  <si>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</si>
  <si>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</si>
  <si>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</si>
  <si>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</si>
  <si>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</si>
  <si>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</si>
  <si>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</si>
  <si>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</si>
  <si>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</si>
  <si>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</si>
  <si>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</si>
  <si>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</si>
  <si>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</si>
  <si>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</si>
  <si>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</si>
  <si>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</si>
  <si>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</si>
  <si>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</si>
  <si>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</si>
  <si>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</si>
  <si>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</si>
  <si>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</si>
  <si>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</si>
  <si>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</si>
  <si>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</si>
  <si>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</si>
  <si>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</si>
  <si>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</si>
  <si>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</si>
  <si>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</si>
  <si>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</si>
  <si>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</si>
  <si>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</si>
  <si>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</si>
  <si>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</si>
  <si>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</si>
  <si>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</si>
  <si>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</si>
  <si>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</si>
  <si>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</si>
  <si>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</si>
  <si>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</si>
  <si>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</si>
  <si>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</si>
  <si>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</si>
  <si>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</si>
  <si>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</si>
  <si>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</si>
  <si>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</si>
  <si>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</si>
  <si>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</si>
  <si>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</si>
  <si>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</si>
  <si>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</si>
  <si>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</si>
  <si>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</si>
  <si>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</si>
  <si>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</si>
  <si>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</si>
  <si>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</si>
  <si>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</si>
  <si>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</si>
  <si>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</si>
  <si>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</si>
  <si>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</si>
  <si>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</si>
  <si>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</si>
  <si>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</si>
  <si>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</si>
  <si>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</si>
  <si>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</si>
  <si>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</si>
  <si>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</si>
  <si>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</si>
  <si>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</si>
  <si>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</si>
  <si>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</si>
  <si>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</si>
  <si>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</si>
  <si>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</si>
  <si>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</si>
  <si>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</si>
  <si>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</si>
  <si>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</si>
  <si>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</si>
  <si>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</si>
  <si>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</si>
  <si>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</si>
  <si>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</si>
  <si>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</si>
  <si>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</si>
  <si>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</si>
  <si>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</si>
  <si>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</si>
  <si>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</si>
  <si>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</si>
  <si>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</si>
  <si>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</si>
  <si>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</si>
  <si>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</si>
  <si>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</si>
  <si>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</si>
  <si>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</si>
  <si>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</si>
  <si>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</si>
  <si>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</si>
  <si>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</si>
  <si>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</si>
  <si>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</si>
  <si>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</si>
  <si>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</si>
  <si>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</si>
  <si>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</si>
  <si>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</si>
  <si>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</si>
  <si>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</si>
  <si>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</si>
  <si>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</si>
  <si>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</si>
  <si>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</si>
  <si>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</si>
  <si>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</si>
  <si>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</si>
  <si>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</si>
  <si>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</si>
  <si>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</si>
  <si>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</si>
  <si>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</si>
  <si>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</si>
  <si>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</si>
  <si>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</si>
  <si>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</si>
  <si>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</si>
  <si>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</si>
  <si>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</si>
  <si>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</si>
  <si>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</si>
  <si>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</si>
  <si>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</si>
  <si>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</si>
  <si>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</si>
  <si>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</si>
  <si>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</si>
  <si>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</si>
  <si>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</si>
  <si>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</si>
  <si>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</si>
  <si>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</si>
  <si>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</si>
  <si>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</si>
  <si>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</si>
  <si>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</si>
  <si>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</si>
  <si>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</si>
  <si>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</si>
  <si>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</si>
  <si>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</si>
  <si>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</si>
  <si>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</si>
  <si>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</si>
  <si>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</si>
  <si>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</si>
  <si>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</si>
  <si>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</si>
  <si>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</si>
  <si>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</si>
  <si>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</si>
  <si>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</si>
  <si>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</si>
  <si>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</si>
  <si>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</si>
  <si>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</si>
  <si>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</si>
  <si>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</si>
  <si>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</si>
  <si>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</si>
  <si>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</si>
  <si>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</si>
  <si>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</si>
  <si>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</si>
  <si>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</si>
  <si>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</si>
  <si>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</si>
  <si>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</si>
  <si>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</si>
  <si>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</si>
  <si>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</si>
  <si>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</si>
  <si>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</si>
  <si>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</si>
  <si>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</si>
  <si>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</si>
  <si>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</si>
  <si>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TIP</t>
  </si>
  <si>
    <t>iShares TIPS Bond ETF</t>
  </si>
  <si>
    <t>TSM</t>
  </si>
  <si>
    <t>Taiwan Semiconductor</t>
  </si>
  <si>
    <t>ACAD</t>
  </si>
  <si>
    <t>Acadia Pharmaceuticals</t>
  </si>
  <si>
    <t>IWM</t>
  </si>
  <si>
    <t>iShares Russell 2000 ETF</t>
  </si>
  <si>
    <t>Long Small Cap vs Broad Mkt</t>
  </si>
  <si>
    <t>SPY</t>
  </si>
  <si>
    <t>S&amp;P500 ETF</t>
  </si>
  <si>
    <t>VMBS</t>
  </si>
  <si>
    <t>Vanguard Mortgage Backed Securities ETF</t>
  </si>
  <si>
    <t>WAT</t>
  </si>
  <si>
    <t>Waters Corporation</t>
  </si>
  <si>
    <t>TMO</t>
  </si>
  <si>
    <t>Thermo Fisher Scientific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</si>
</sst>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  <xf numFmtId="1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7"/>
  <sheetViews>
    <sheetView tabSelected="1" zoomScale="110" zoomScaleNormal="110" workbookViewId="0">
      <pane ySplit="1" topLeftCell="A16" activePane="bottomLeft" state="frozen"/>
      <selection activeCell="D1" sqref="D1"/>
      <selection pane="bottomLeft" activeCell="A64" sqref="A64"/>
    </sheetView>
  </sheetViews>
  <sheetFormatPr baseColWidth="10" defaultColWidth="9.1640625" defaultRowHeight="21" x14ac:dyDescent="0.25"/>
  <cols>
    <col min="1" max="1" width="10.5" style="33" bestFit="1" customWidth="1"/>
    <col min="2" max="3" width="14" style="51" bestFit="1" customWidth="1"/>
    <col min="4" max="4" width="16.5" style="46" customWidth="1"/>
    <col min="5" max="5" width="9" style="33" bestFit="1" customWidth="1"/>
    <col min="6" max="6" width="57.6640625" style="33" bestFit="1" customWidth="1"/>
    <col min="7" max="7" width="13.33203125" style="33" bestFit="1" customWidth="1"/>
    <col min="8" max="8" width="43.164062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8.16406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9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42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9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9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9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9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9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42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42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9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42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42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9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9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42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Q17" s="33">
        <v>4.5999999999999996</v>
      </c>
      <c r="R17" s="33">
        <v>1</v>
      </c>
      <c r="S17" s="40">
        <f t="shared" si="3"/>
        <v>4.9999102817154174E-2</v>
      </c>
      <c r="T17" s="39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Q18" s="33">
        <v>6.8</v>
      </c>
      <c r="R18" s="33">
        <v>1</v>
      </c>
      <c r="S18" s="40">
        <f t="shared" si="3"/>
        <v>2.0001183501982336E-2</v>
      </c>
      <c r="T18" s="39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9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9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9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9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9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9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9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61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9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9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9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9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9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9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101</v>
      </c>
      <c r="F32" s="36" t="s">
        <v>102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101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9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9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9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9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585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9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9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9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591</v>
      </c>
      <c r="F39" s="36" t="s">
        <v>592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591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9">
        <v>2167</v>
      </c>
      <c r="U39" s="41">
        <v>2167</v>
      </c>
    </row>
    <row r="40" spans="1:22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593</v>
      </c>
      <c r="F40" s="36" t="s">
        <v>594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593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9">
        <v>-438</v>
      </c>
      <c r="U40" s="45">
        <v>-438</v>
      </c>
    </row>
    <row r="41" spans="1:22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595</v>
      </c>
      <c r="F41" s="36" t="s">
        <v>596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595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9">
        <v>-317</v>
      </c>
      <c r="U41" s="45">
        <v>-317</v>
      </c>
    </row>
    <row r="42" spans="1:22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597</v>
      </c>
      <c r="F42" s="36" t="s">
        <v>598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597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9">
        <v>1721</v>
      </c>
      <c r="U42" s="41">
        <v>1721</v>
      </c>
    </row>
    <row r="43" spans="1:22" x14ac:dyDescent="0.25">
      <c r="A43" s="33">
        <v>38</v>
      </c>
      <c r="B43" s="34">
        <v>46286</v>
      </c>
      <c r="C43" s="55">
        <v>46295</v>
      </c>
      <c r="D43" s="56">
        <f t="shared" si="5"/>
        <v>9</v>
      </c>
      <c r="E43" s="47" t="s">
        <v>599</v>
      </c>
      <c r="F43" s="48" t="s">
        <v>600</v>
      </c>
      <c r="G43" s="47" t="s">
        <v>23</v>
      </c>
      <c r="H43" s="48" t="s">
        <v>24</v>
      </c>
      <c r="I43" s="47" t="s">
        <v>25</v>
      </c>
      <c r="J43" s="47" t="s">
        <v>25</v>
      </c>
      <c r="K43" s="47" t="s">
        <v>599</v>
      </c>
      <c r="L43" s="47">
        <v>-300</v>
      </c>
      <c r="M43" s="47">
        <v>157.56</v>
      </c>
      <c r="N43" s="47" t="s">
        <v>72</v>
      </c>
      <c r="O43" s="47">
        <v>165.15</v>
      </c>
      <c r="P43" s="49">
        <f>ABS(M43*L43)</f>
        <v>47268</v>
      </c>
      <c r="Q43" s="47">
        <v>1.02</v>
      </c>
      <c r="R43" s="47" t="s">
        <v>72</v>
      </c>
      <c r="S43" s="50" t="s">
        <v>72</v>
      </c>
      <c r="T43" s="49" t="s">
        <v>72</v>
      </c>
      <c r="U43" s="49" t="s">
        <v>72</v>
      </c>
      <c r="V43" s="33">
        <v>-2427</v>
      </c>
    </row>
    <row r="44" spans="1:22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601</v>
      </c>
      <c r="F44" s="36" t="s">
        <v>602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601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9">
        <v>1134</v>
      </c>
      <c r="U44" s="41">
        <v>1134</v>
      </c>
    </row>
    <row r="45" spans="1:22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603</v>
      </c>
      <c r="G45" s="33" t="s">
        <v>23</v>
      </c>
      <c r="H45" s="36" t="s">
        <v>24</v>
      </c>
      <c r="I45" s="33" t="s">
        <v>32</v>
      </c>
      <c r="J45" s="33" t="s">
        <v>534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8" si="8">IF(R45=1, ABS(N45-M45)/M45, 0)</f>
        <v>6.6957880304817775E-4</v>
      </c>
      <c r="T45" s="39">
        <v>108</v>
      </c>
      <c r="U45" s="41">
        <v>108</v>
      </c>
    </row>
    <row r="46" spans="1:22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604</v>
      </c>
      <c r="F46" s="36" t="s">
        <v>605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604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9">
        <v>-664</v>
      </c>
      <c r="U46" s="45">
        <v>-664</v>
      </c>
    </row>
    <row r="47" spans="1:22" x14ac:dyDescent="0.25">
      <c r="A47" s="33">
        <v>42</v>
      </c>
      <c r="B47" s="34">
        <v>46288</v>
      </c>
      <c r="C47" s="55">
        <v>46295</v>
      </c>
      <c r="D47" s="56">
        <f t="shared" si="5"/>
        <v>7</v>
      </c>
      <c r="E47" s="47" t="s">
        <v>606</v>
      </c>
      <c r="F47" s="48" t="s">
        <v>607</v>
      </c>
      <c r="G47" s="47" t="s">
        <v>23</v>
      </c>
      <c r="H47" s="48" t="s">
        <v>24</v>
      </c>
      <c r="I47" s="47" t="s">
        <v>25</v>
      </c>
      <c r="J47" s="47" t="s">
        <v>25</v>
      </c>
      <c r="K47" s="47" t="s">
        <v>606</v>
      </c>
      <c r="L47" s="47">
        <v>-260</v>
      </c>
      <c r="M47" s="47">
        <v>261.35000000000002</v>
      </c>
      <c r="N47" s="47" t="s">
        <v>72</v>
      </c>
      <c r="O47" s="47">
        <v>272.49</v>
      </c>
      <c r="P47" s="49">
        <f>ABS(M47*L47)</f>
        <v>67951</v>
      </c>
      <c r="Q47" s="47">
        <v>2.08</v>
      </c>
      <c r="R47" s="47" t="s">
        <v>72</v>
      </c>
      <c r="S47" s="50" t="s">
        <v>72</v>
      </c>
      <c r="T47" s="49" t="s">
        <v>72</v>
      </c>
      <c r="U47" s="49" t="s">
        <v>72</v>
      </c>
      <c r="V47" s="33">
        <v>-3006</v>
      </c>
    </row>
    <row r="48" spans="1:22" x14ac:dyDescent="0.25">
      <c r="A48" s="33">
        <v>43</v>
      </c>
      <c r="B48" s="34">
        <v>46288</v>
      </c>
      <c r="C48" s="34">
        <v>46296</v>
      </c>
      <c r="D48" s="35">
        <f t="shared" si="5"/>
        <v>8</v>
      </c>
      <c r="E48" s="33" t="s">
        <v>58</v>
      </c>
      <c r="F48" s="36" t="s">
        <v>59</v>
      </c>
      <c r="G48" s="33" t="s">
        <v>23</v>
      </c>
      <c r="H48" s="36" t="s">
        <v>24</v>
      </c>
      <c r="I48" s="33" t="s">
        <v>32</v>
      </c>
      <c r="J48" s="33" t="s">
        <v>532</v>
      </c>
      <c r="K48" s="33" t="s">
        <v>608</v>
      </c>
      <c r="L48" s="33">
        <v>30</v>
      </c>
      <c r="M48" s="33">
        <v>17.652000000000001</v>
      </c>
      <c r="N48" s="33">
        <v>18.277999999999999</v>
      </c>
      <c r="O48" s="33">
        <v>18.277999999999999</v>
      </c>
      <c r="P48" s="39">
        <f>ABS(M48*L48)*100</f>
        <v>52956.000000000007</v>
      </c>
      <c r="Q48" s="33">
        <v>27.6</v>
      </c>
      <c r="R48" s="33">
        <v>1</v>
      </c>
      <c r="S48" s="40">
        <f t="shared" si="8"/>
        <v>3.5463403580330705E-2</v>
      </c>
      <c r="T48" s="39">
        <v>1895</v>
      </c>
      <c r="U48" s="41">
        <v>1895</v>
      </c>
    </row>
    <row r="49" spans="1:22" x14ac:dyDescent="0.25">
      <c r="A49" s="33">
        <v>44</v>
      </c>
      <c r="B49" s="34">
        <v>46289</v>
      </c>
      <c r="C49" s="34">
        <v>46290</v>
      </c>
      <c r="D49" s="35">
        <f t="shared" si="5"/>
        <v>1</v>
      </c>
      <c r="E49" s="33" t="s">
        <v>609</v>
      </c>
      <c r="F49" s="36" t="s">
        <v>610</v>
      </c>
      <c r="G49" s="33" t="s">
        <v>23</v>
      </c>
      <c r="H49" s="36" t="s">
        <v>24</v>
      </c>
      <c r="I49" s="33" t="s">
        <v>32</v>
      </c>
      <c r="J49" s="33" t="s">
        <v>125</v>
      </c>
      <c r="K49" s="33" t="s">
        <v>611</v>
      </c>
      <c r="L49" s="33">
        <v>-2</v>
      </c>
      <c r="M49" s="33">
        <v>3.327</v>
      </c>
      <c r="N49" s="33">
        <v>3.26</v>
      </c>
      <c r="O49" s="33">
        <v>3.26</v>
      </c>
      <c r="P49" s="39">
        <v>16220</v>
      </c>
      <c r="Q49" s="33">
        <v>5.44</v>
      </c>
      <c r="R49" s="33">
        <v>1</v>
      </c>
      <c r="S49" s="40">
        <f t="shared" ref="S49:S53" si="9">IF(R49=1, ABS(N49-M49)/M49, 0)</f>
        <v>2.0138262699128395E-2</v>
      </c>
      <c r="T49" s="39">
        <v>338</v>
      </c>
      <c r="U49" s="41">
        <v>338</v>
      </c>
    </row>
    <row r="50" spans="1:22" x14ac:dyDescent="0.25">
      <c r="A50" s="33">
        <v>45</v>
      </c>
      <c r="B50" s="34">
        <v>46290</v>
      </c>
      <c r="C50" s="34">
        <v>46290</v>
      </c>
      <c r="D50" s="35">
        <f t="shared" si="5"/>
        <v>0</v>
      </c>
      <c r="E50" s="33" t="s">
        <v>613</v>
      </c>
      <c r="F50" s="36" t="s">
        <v>614</v>
      </c>
      <c r="G50" s="33" t="s">
        <v>23</v>
      </c>
      <c r="H50" s="36" t="s">
        <v>24</v>
      </c>
      <c r="I50" s="33" t="s">
        <v>25</v>
      </c>
      <c r="J50" s="33" t="s">
        <v>25</v>
      </c>
      <c r="K50" s="33" t="s">
        <v>613</v>
      </c>
      <c r="L50" s="33">
        <v>-750</v>
      </c>
      <c r="M50" s="33">
        <v>274.52</v>
      </c>
      <c r="N50" s="33">
        <v>271.52999999999997</v>
      </c>
      <c r="O50" s="33">
        <v>271.52999999999997</v>
      </c>
      <c r="P50" s="39">
        <v>205889</v>
      </c>
      <c r="Q50" s="33">
        <v>10.91</v>
      </c>
      <c r="R50" s="33">
        <v>1</v>
      </c>
      <c r="S50" s="40">
        <f t="shared" si="9"/>
        <v>1.0891738306862922E-2</v>
      </c>
      <c r="T50" s="39">
        <v>2245</v>
      </c>
      <c r="U50" s="41">
        <v>2245</v>
      </c>
    </row>
    <row r="51" spans="1:22" x14ac:dyDescent="0.25">
      <c r="A51" s="33">
        <v>46</v>
      </c>
      <c r="B51" s="34">
        <v>46293</v>
      </c>
      <c r="C51" s="34">
        <v>46296</v>
      </c>
      <c r="D51" s="35">
        <f t="shared" si="5"/>
        <v>3</v>
      </c>
      <c r="E51" s="33" t="s">
        <v>615</v>
      </c>
      <c r="F51" s="36" t="s">
        <v>616</v>
      </c>
      <c r="G51" s="33" t="s">
        <v>23</v>
      </c>
      <c r="H51" s="36" t="s">
        <v>24</v>
      </c>
      <c r="I51" s="33" t="s">
        <v>25</v>
      </c>
      <c r="J51" s="33" t="s">
        <v>25</v>
      </c>
      <c r="K51" s="33" t="s">
        <v>615</v>
      </c>
      <c r="L51" s="33">
        <v>700</v>
      </c>
      <c r="M51" s="33">
        <v>84.41</v>
      </c>
      <c r="N51" s="33">
        <v>82.27</v>
      </c>
      <c r="O51" s="33">
        <v>82.27</v>
      </c>
      <c r="P51" s="39">
        <f t="shared" ref="P51:P61" si="10">ABS(M51*L51)</f>
        <v>59087</v>
      </c>
      <c r="Q51" s="33">
        <v>9.65</v>
      </c>
      <c r="R51" s="33">
        <v>0</v>
      </c>
      <c r="S51" s="40">
        <f t="shared" si="9"/>
        <v>0</v>
      </c>
      <c r="T51" s="39">
        <v>-1498</v>
      </c>
      <c r="U51" s="45">
        <v>-1498</v>
      </c>
    </row>
    <row r="52" spans="1:22" x14ac:dyDescent="0.25">
      <c r="A52" s="33">
        <v>47</v>
      </c>
      <c r="B52" s="34">
        <v>46293</v>
      </c>
      <c r="C52" s="55">
        <v>46295</v>
      </c>
      <c r="D52" s="56">
        <f t="shared" si="5"/>
        <v>2</v>
      </c>
      <c r="E52" s="47" t="s">
        <v>617</v>
      </c>
      <c r="F52" s="48" t="s">
        <v>618</v>
      </c>
      <c r="G52" s="47" t="s">
        <v>23</v>
      </c>
      <c r="H52" s="48" t="s">
        <v>24</v>
      </c>
      <c r="I52" s="47" t="s">
        <v>48</v>
      </c>
      <c r="J52" s="47" t="s">
        <v>48</v>
      </c>
      <c r="K52" s="47" t="s">
        <v>617</v>
      </c>
      <c r="L52" s="47">
        <v>400</v>
      </c>
      <c r="M52" s="47">
        <v>104.14</v>
      </c>
      <c r="N52" s="47" t="s">
        <v>72</v>
      </c>
      <c r="O52" s="47">
        <v>104.11</v>
      </c>
      <c r="P52" s="49">
        <f t="shared" si="10"/>
        <v>41656</v>
      </c>
      <c r="Q52" s="47">
        <v>1.56</v>
      </c>
      <c r="R52" s="47" t="s">
        <v>72</v>
      </c>
      <c r="S52" s="50" t="s">
        <v>72</v>
      </c>
      <c r="T52" s="49" t="s">
        <v>72</v>
      </c>
      <c r="U52" s="49" t="s">
        <v>72</v>
      </c>
      <c r="V52" s="33">
        <v>-12</v>
      </c>
    </row>
    <row r="53" spans="1:22" x14ac:dyDescent="0.25">
      <c r="A53" s="33">
        <v>48</v>
      </c>
      <c r="B53" s="34">
        <v>46293</v>
      </c>
      <c r="C53" s="34">
        <v>46297</v>
      </c>
      <c r="D53" s="35">
        <f t="shared" si="5"/>
        <v>4</v>
      </c>
      <c r="E53" s="33" t="s">
        <v>619</v>
      </c>
      <c r="F53" s="36" t="s">
        <v>620</v>
      </c>
      <c r="G53" s="33" t="s">
        <v>23</v>
      </c>
      <c r="H53" s="36" t="s">
        <v>24</v>
      </c>
      <c r="I53" s="33" t="s">
        <v>25</v>
      </c>
      <c r="J53" s="33" t="s">
        <v>25</v>
      </c>
      <c r="K53" s="33" t="s">
        <v>619</v>
      </c>
      <c r="L53" s="33">
        <v>-110</v>
      </c>
      <c r="M53" s="33">
        <v>447.99</v>
      </c>
      <c r="N53" s="33">
        <v>466.29</v>
      </c>
      <c r="O53" s="33">
        <v>466.29</v>
      </c>
      <c r="P53" s="39">
        <f t="shared" si="10"/>
        <v>49278.9</v>
      </c>
      <c r="Q53" s="33">
        <v>2.68</v>
      </c>
      <c r="R53" s="33">
        <v>0</v>
      </c>
      <c r="S53" s="40">
        <f t="shared" si="9"/>
        <v>0</v>
      </c>
      <c r="T53" s="39">
        <v>-2013</v>
      </c>
      <c r="U53" s="45">
        <v>-2013</v>
      </c>
    </row>
    <row r="54" spans="1:22" x14ac:dyDescent="0.25">
      <c r="A54" s="33">
        <v>49</v>
      </c>
      <c r="B54" s="34">
        <v>46293</v>
      </c>
      <c r="C54" s="34">
        <v>46295</v>
      </c>
      <c r="D54" s="35">
        <f t="shared" si="5"/>
        <v>2</v>
      </c>
      <c r="E54" s="33" t="s">
        <v>621</v>
      </c>
      <c r="F54" s="36" t="s">
        <v>622</v>
      </c>
      <c r="G54" s="33" t="s">
        <v>23</v>
      </c>
      <c r="H54" s="36" t="s">
        <v>24</v>
      </c>
      <c r="I54" s="33" t="s">
        <v>25</v>
      </c>
      <c r="J54" s="33" t="s">
        <v>25</v>
      </c>
      <c r="K54" s="33" t="s">
        <v>621</v>
      </c>
      <c r="L54" s="33">
        <v>4000</v>
      </c>
      <c r="M54" s="33">
        <v>20.27</v>
      </c>
      <c r="N54" s="33">
        <v>20.21</v>
      </c>
      <c r="O54" s="33">
        <v>20.21</v>
      </c>
      <c r="P54" s="39">
        <f t="shared" si="10"/>
        <v>81080</v>
      </c>
      <c r="Q54" s="33">
        <v>5.4</v>
      </c>
      <c r="R54" s="33">
        <v>0</v>
      </c>
      <c r="S54" s="40">
        <f t="shared" ref="S54" si="11">IF(R54=1, ABS(N54-M54)/M54, 0)</f>
        <v>0</v>
      </c>
      <c r="T54" s="39">
        <v>-214</v>
      </c>
      <c r="U54" s="45">
        <v>-214</v>
      </c>
    </row>
    <row r="55" spans="1:22" x14ac:dyDescent="0.25">
      <c r="A55" s="33">
        <v>50</v>
      </c>
      <c r="B55" s="34">
        <v>46294</v>
      </c>
      <c r="C55" s="55">
        <v>46295</v>
      </c>
      <c r="D55" s="56">
        <f t="shared" si="5"/>
        <v>1</v>
      </c>
      <c r="E55" s="47" t="s">
        <v>623</v>
      </c>
      <c r="F55" s="48" t="s">
        <v>624</v>
      </c>
      <c r="G55" s="47" t="s">
        <v>30</v>
      </c>
      <c r="H55" s="48" t="s">
        <v>625</v>
      </c>
      <c r="I55" s="47" t="s">
        <v>48</v>
      </c>
      <c r="J55" s="47" t="s">
        <v>48</v>
      </c>
      <c r="K55" s="47" t="s">
        <v>623</v>
      </c>
      <c r="L55" s="47">
        <v>200</v>
      </c>
      <c r="M55" s="47">
        <v>280.43</v>
      </c>
      <c r="N55" s="47" t="s">
        <v>72</v>
      </c>
      <c r="O55" s="47">
        <v>282.10000000000002</v>
      </c>
      <c r="P55" s="49">
        <f t="shared" si="10"/>
        <v>56086</v>
      </c>
      <c r="Q55" s="47">
        <v>3.11</v>
      </c>
      <c r="R55" s="47" t="s">
        <v>72</v>
      </c>
      <c r="S55" s="50" t="s">
        <v>72</v>
      </c>
      <c r="T55" s="49" t="s">
        <v>72</v>
      </c>
      <c r="U55" s="49" t="s">
        <v>72</v>
      </c>
      <c r="V55" s="33">
        <v>390</v>
      </c>
    </row>
    <row r="56" spans="1:22" x14ac:dyDescent="0.25">
      <c r="A56" s="33">
        <v>50</v>
      </c>
      <c r="B56" s="34">
        <v>46294</v>
      </c>
      <c r="C56" s="55">
        <v>46295</v>
      </c>
      <c r="D56" s="56">
        <f t="shared" si="5"/>
        <v>1</v>
      </c>
      <c r="E56" s="47" t="s">
        <v>626</v>
      </c>
      <c r="F56" s="48" t="s">
        <v>627</v>
      </c>
      <c r="G56" s="47" t="s">
        <v>30</v>
      </c>
      <c r="H56" s="48" t="s">
        <v>625</v>
      </c>
      <c r="I56" s="47" t="s">
        <v>48</v>
      </c>
      <c r="J56" s="47" t="s">
        <v>48</v>
      </c>
      <c r="K56" s="47" t="s">
        <v>626</v>
      </c>
      <c r="L56" s="47">
        <v>-70</v>
      </c>
      <c r="M56" s="47">
        <v>765.18</v>
      </c>
      <c r="N56" s="47" t="s">
        <v>72</v>
      </c>
      <c r="O56" s="47">
        <v>770.94</v>
      </c>
      <c r="P56" s="49">
        <f t="shared" si="10"/>
        <v>53562.6</v>
      </c>
      <c r="Q56" s="47">
        <v>3.11</v>
      </c>
      <c r="R56" s="47" t="s">
        <v>72</v>
      </c>
      <c r="S56" s="50" t="s">
        <v>72</v>
      </c>
      <c r="T56" s="49" t="s">
        <v>72</v>
      </c>
      <c r="U56" s="49" t="s">
        <v>72</v>
      </c>
      <c r="V56" s="33">
        <v>-443</v>
      </c>
    </row>
    <row r="57" spans="1:22" x14ac:dyDescent="0.25">
      <c r="A57" s="33">
        <v>51</v>
      </c>
      <c r="B57" s="34">
        <v>46294</v>
      </c>
      <c r="C57" s="55">
        <v>46295</v>
      </c>
      <c r="D57" s="56">
        <f t="shared" si="5"/>
        <v>1</v>
      </c>
      <c r="E57" s="47" t="s">
        <v>628</v>
      </c>
      <c r="F57" s="48" t="s">
        <v>629</v>
      </c>
      <c r="G57" s="47" t="s">
        <v>23</v>
      </c>
      <c r="H57" s="48" t="s">
        <v>24</v>
      </c>
      <c r="I57" s="47" t="s">
        <v>48</v>
      </c>
      <c r="J57" s="47" t="s">
        <v>48</v>
      </c>
      <c r="K57" s="47" t="s">
        <v>628</v>
      </c>
      <c r="L57" s="47">
        <v>2000</v>
      </c>
      <c r="M57" s="47">
        <v>44.366999999999997</v>
      </c>
      <c r="N57" s="47" t="s">
        <v>72</v>
      </c>
      <c r="O57" s="47">
        <v>44.48</v>
      </c>
      <c r="P57" s="49">
        <f t="shared" si="10"/>
        <v>88734</v>
      </c>
      <c r="Q57" s="47">
        <v>3.11</v>
      </c>
      <c r="R57" s="47" t="s">
        <v>72</v>
      </c>
      <c r="S57" s="50" t="s">
        <v>72</v>
      </c>
      <c r="T57" s="49" t="s">
        <v>72</v>
      </c>
      <c r="U57" s="49" t="s">
        <v>72</v>
      </c>
      <c r="V57" s="33">
        <v>277</v>
      </c>
    </row>
    <row r="58" spans="1:22" x14ac:dyDescent="0.25">
      <c r="A58" s="33">
        <v>52</v>
      </c>
      <c r="B58" s="34">
        <v>46295</v>
      </c>
      <c r="C58" s="34">
        <v>46296</v>
      </c>
      <c r="D58" s="35">
        <f t="shared" si="5"/>
        <v>1</v>
      </c>
      <c r="E58" s="33" t="s">
        <v>630</v>
      </c>
      <c r="F58" s="36" t="s">
        <v>631</v>
      </c>
      <c r="G58" s="33" t="s">
        <v>23</v>
      </c>
      <c r="H58" s="36" t="s">
        <v>24</v>
      </c>
      <c r="I58" s="33" t="s">
        <v>25</v>
      </c>
      <c r="J58" s="33" t="s">
        <v>25</v>
      </c>
      <c r="K58" s="33" t="s">
        <v>630</v>
      </c>
      <c r="L58" s="33">
        <v>-100</v>
      </c>
      <c r="M58" s="33">
        <v>447</v>
      </c>
      <c r="N58" s="33">
        <v>434.77</v>
      </c>
      <c r="O58" s="33">
        <v>434.77</v>
      </c>
      <c r="P58" s="39">
        <f t="shared" si="10"/>
        <v>44700</v>
      </c>
      <c r="Q58" s="33">
        <v>1.9</v>
      </c>
      <c r="R58" s="33">
        <v>1</v>
      </c>
      <c r="S58" s="40">
        <f t="shared" ref="S58:S60" si="12">IF(R58=1, ABS(N58-M58)/M58, 0)</f>
        <v>2.7360178970917266E-2</v>
      </c>
      <c r="T58" s="39">
        <v>1222</v>
      </c>
      <c r="U58" s="41">
        <v>1222</v>
      </c>
    </row>
    <row r="59" spans="1:22" x14ac:dyDescent="0.25">
      <c r="A59" s="33">
        <v>53</v>
      </c>
      <c r="B59" s="34">
        <v>46295</v>
      </c>
      <c r="C59" s="34">
        <v>46296</v>
      </c>
      <c r="D59" s="35">
        <f t="shared" si="5"/>
        <v>1</v>
      </c>
      <c r="E59" s="33" t="s">
        <v>632</v>
      </c>
      <c r="F59" s="36" t="s">
        <v>633</v>
      </c>
      <c r="G59" s="33" t="s">
        <v>23</v>
      </c>
      <c r="H59" s="36" t="s">
        <v>24</v>
      </c>
      <c r="I59" s="33" t="s">
        <v>25</v>
      </c>
      <c r="J59" s="33" t="s">
        <v>25</v>
      </c>
      <c r="K59" s="33" t="s">
        <v>632</v>
      </c>
      <c r="L59" s="33">
        <v>-100</v>
      </c>
      <c r="M59" s="33">
        <v>674.15</v>
      </c>
      <c r="N59" s="33">
        <v>666.83</v>
      </c>
      <c r="O59" s="33">
        <v>666.83</v>
      </c>
      <c r="P59" s="39">
        <f t="shared" si="10"/>
        <v>67415</v>
      </c>
      <c r="Q59" s="33">
        <v>3.25</v>
      </c>
      <c r="R59" s="33">
        <v>1</v>
      </c>
      <c r="S59" s="40">
        <f t="shared" si="12"/>
        <v>1.0858117629607559E-2</v>
      </c>
      <c r="T59" s="39">
        <v>880</v>
      </c>
      <c r="U59" s="41">
        <v>880</v>
      </c>
    </row>
    <row r="60" spans="1:22" x14ac:dyDescent="0.25">
      <c r="A60" s="33">
        <v>54</v>
      </c>
      <c r="B60" s="34">
        <v>46296</v>
      </c>
      <c r="C60" s="34">
        <v>46296</v>
      </c>
      <c r="D60" s="35">
        <f t="shared" si="5"/>
        <v>0</v>
      </c>
      <c r="E60" s="33" t="s">
        <v>26</v>
      </c>
      <c r="F60" s="36" t="s">
        <v>27</v>
      </c>
      <c r="G60" s="33" t="s">
        <v>23</v>
      </c>
      <c r="H60" s="36" t="s">
        <v>24</v>
      </c>
      <c r="I60" s="33" t="s">
        <v>25</v>
      </c>
      <c r="J60" s="33" t="s">
        <v>25</v>
      </c>
      <c r="K60" s="33" t="s">
        <v>26</v>
      </c>
      <c r="L60" s="33">
        <v>200</v>
      </c>
      <c r="M60" s="33">
        <v>326.27999999999997</v>
      </c>
      <c r="N60" s="33">
        <v>332.03</v>
      </c>
      <c r="O60" s="33">
        <v>332.03</v>
      </c>
      <c r="P60" s="39">
        <f t="shared" si="10"/>
        <v>65255.999999999993</v>
      </c>
      <c r="Q60" s="33">
        <v>2.59</v>
      </c>
      <c r="R60" s="33">
        <v>1</v>
      </c>
      <c r="S60" s="40">
        <f t="shared" si="12"/>
        <v>1.762290057619223E-2</v>
      </c>
      <c r="T60" s="39">
        <v>1058</v>
      </c>
      <c r="U60" s="41">
        <v>1058</v>
      </c>
    </row>
    <row r="61" spans="1:22" x14ac:dyDescent="0.25">
      <c r="A61" s="33">
        <v>55</v>
      </c>
      <c r="B61" s="34">
        <v>46297</v>
      </c>
      <c r="C61" s="55">
        <v>46297</v>
      </c>
      <c r="D61" s="56">
        <f t="shared" si="5"/>
        <v>0</v>
      </c>
      <c r="E61" s="47" t="s">
        <v>58</v>
      </c>
      <c r="F61" s="48" t="s">
        <v>59</v>
      </c>
      <c r="G61" s="47" t="s">
        <v>23</v>
      </c>
      <c r="H61" s="48" t="s">
        <v>24</v>
      </c>
      <c r="I61" s="47" t="s">
        <v>32</v>
      </c>
      <c r="J61" s="47" t="s">
        <v>532</v>
      </c>
      <c r="K61" s="47" t="s">
        <v>608</v>
      </c>
      <c r="L61" s="47">
        <v>10</v>
      </c>
      <c r="M61" s="47">
        <v>17.91</v>
      </c>
      <c r="N61" s="47" t="s">
        <v>72</v>
      </c>
      <c r="O61" s="47">
        <v>17.68</v>
      </c>
      <c r="P61" s="49">
        <f>ABS(M61*L61)*100</f>
        <v>17910</v>
      </c>
      <c r="Q61" s="47">
        <v>1.88</v>
      </c>
      <c r="R61" s="47" t="s">
        <v>72</v>
      </c>
      <c r="S61" s="50" t="s">
        <v>72</v>
      </c>
      <c r="T61" s="49" t="s">
        <v>72</v>
      </c>
      <c r="U61" s="49" t="s">
        <v>72</v>
      </c>
      <c r="V61" s="33">
        <v>-250</v>
      </c>
    </row>
    <row r="62" spans="1:22" x14ac:dyDescent="0.25">
      <c r="B62" s="34"/>
      <c r="C62" s="34"/>
      <c r="D62" s="35"/>
      <c r="F62" s="36"/>
      <c r="H62" s="36"/>
      <c r="P62" s="39"/>
      <c r="S62" s="40"/>
      <c r="T62" s="39"/>
      <c r="U62" s="41"/>
    </row>
    <row r="63" spans="1:22" x14ac:dyDescent="0.25">
      <c r="B63" s="34"/>
      <c r="C63" s="34"/>
      <c r="D63" s="35"/>
      <c r="F63" s="36"/>
      <c r="H63" s="36"/>
      <c r="P63" s="39"/>
      <c r="S63" s="40"/>
      <c r="T63" s="39"/>
      <c r="U63" s="41"/>
    </row>
    <row r="64" spans="1:22" x14ac:dyDescent="0.25">
      <c r="B64" s="34"/>
      <c r="C64" s="34"/>
      <c r="D64" s="35"/>
      <c r="F64" s="36"/>
      <c r="H64" s="36"/>
      <c r="P64" s="39"/>
      <c r="S64" s="40"/>
      <c r="T64" s="39"/>
      <c r="U64" s="41"/>
    </row>
    <row r="65" spans="2:22" x14ac:dyDescent="0.25">
      <c r="B65" s="34"/>
      <c r="C65" s="34"/>
      <c r="D65" s="35"/>
      <c r="F65" s="36"/>
      <c r="H65" s="36"/>
      <c r="P65" s="39"/>
      <c r="S65" s="40"/>
      <c r="T65" s="39"/>
      <c r="U65" s="41"/>
    </row>
    <row r="66" spans="2:22" x14ac:dyDescent="0.25">
      <c r="B66" s="34"/>
      <c r="C66" s="34"/>
      <c r="D66" s="35"/>
      <c r="F66" s="36"/>
      <c r="H66" s="36"/>
      <c r="P66" s="39"/>
      <c r="S66" s="40"/>
      <c r="T66" s="39"/>
      <c r="U66" s="41"/>
    </row>
    <row r="67" spans="2:22" x14ac:dyDescent="0.25">
      <c r="F67" s="36"/>
      <c r="H67" s="36"/>
    </row>
    <row r="68" spans="2:22" x14ac:dyDescent="0.25">
      <c r="D68" s="52" t="s">
        <v>103</v>
      </c>
      <c r="E68" s="46">
        <f>AVERAGE(D2:D60)</f>
        <v>5.9491525423728815</v>
      </c>
      <c r="F68" s="36"/>
      <c r="H68" s="36"/>
      <c r="U68" s="39">
        <f>SUM(U2:U66)</f>
        <v>83369.47</v>
      </c>
      <c r="V68" s="39">
        <f>SUM(V2:V66)</f>
        <v>-5471</v>
      </c>
    </row>
    <row r="69" spans="2:22" x14ac:dyDescent="0.25">
      <c r="D69" s="52" t="s">
        <v>104</v>
      </c>
      <c r="E69" s="46">
        <f>AVERAGE(D2:D11,D13,D15:D60)</f>
        <v>4.1228070175438596</v>
      </c>
      <c r="F69" s="36"/>
      <c r="U69" s="53" t="s">
        <v>105</v>
      </c>
      <c r="V69" s="36" t="s">
        <v>106</v>
      </c>
    </row>
    <row r="70" spans="2:22" x14ac:dyDescent="0.25">
      <c r="F70" s="36"/>
      <c r="U70" s="33" t="s">
        <v>107</v>
      </c>
    </row>
    <row r="71" spans="2:22" x14ac:dyDescent="0.25">
      <c r="F71" s="36"/>
      <c r="U71" s="39">
        <f>U68+V68</f>
        <v>77898.47</v>
      </c>
    </row>
    <row r="72" spans="2:22" x14ac:dyDescent="0.25">
      <c r="F72" s="36"/>
    </row>
    <row r="73" spans="2:22" x14ac:dyDescent="0.25">
      <c r="F73" s="36"/>
      <c r="U73" s="36" t="s">
        <v>108</v>
      </c>
    </row>
    <row r="74" spans="2:22" x14ac:dyDescent="0.25">
      <c r="F74" s="36"/>
      <c r="U74" s="39">
        <v>333000</v>
      </c>
    </row>
    <row r="76" spans="2:22" x14ac:dyDescent="0.25">
      <c r="U76" s="33" t="s">
        <v>109</v>
      </c>
    </row>
    <row r="77" spans="2:22" x14ac:dyDescent="0.25">
      <c r="U77" s="54">
        <f>U71/U74</f>
        <v>0.23392933933933935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83"/>
  <sheetViews>
    <sheetView topLeftCell="A60" zoomScale="200" zoomScaleNormal="200" workbookViewId="0">
      <selection activeCell="B85" sqref="B85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83" si="0">B4-B3</f>
        <v>6713.6600000000326</v>
      </c>
      <c r="D4" s="23">
        <f t="shared" ref="D4:D83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114</v>
      </c>
      <c r="G74" s="27">
        <f>AVERAGE(C3:C83)</f>
        <v>996.54432098765392</v>
      </c>
      <c r="I74" s="27">
        <v>1050.6761249999995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115</v>
      </c>
      <c r="G75" s="27">
        <f>_xlfn.STDEV.S(C3:C83)</f>
        <v>4121.4212322668327</v>
      </c>
      <c r="I75" s="27">
        <v>4118.3458084033773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116</v>
      </c>
      <c r="G76" s="28">
        <f>(G74/G75)*SQRT(252)</f>
        <v>3.8383969439642409</v>
      </c>
      <c r="I76" s="28">
        <v>4.0499188721124577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117</v>
      </c>
      <c r="G77" s="29">
        <f>_xlfn.STDEV.S(D2:D83)*SQRT(252)</f>
        <v>0.17766253922781455</v>
      </c>
      <c r="I77" s="29">
        <v>0.17774657247085821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118</v>
      </c>
      <c r="G78" s="29" cm="1">
        <f t="array" ref="G78">PRODUCT(1+D3:D83)-1</f>
        <v>0.24207144484233956</v>
      </c>
      <c r="I78" s="29">
        <v>0.25206976970207151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119</v>
      </c>
      <c r="G79" s="29" cm="1">
        <f t="array" ref="G79">PRODUCT(1+D2:D83)^(252/COUNT(D2:D83))-1</f>
        <v>0.94683213592105586</v>
      </c>
      <c r="I79" s="29">
        <v>1.0124875590957805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43"/>
  <sheetViews>
    <sheetView zoomScale="110" zoomScaleNormal="110" workbookViewId="0">
      <pane ySplit="1" topLeftCell="A62" activePane="bottomLeft" state="frozen"/>
      <selection pane="bottomLeft" activeCell="N92" sqref="N92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125</v>
      </c>
      <c r="L1" s="8" t="s">
        <v>48</v>
      </c>
      <c r="M1" s="9" t="s">
        <v>526</v>
      </c>
      <c r="N1" s="8" t="s">
        <v>527</v>
      </c>
      <c r="O1" s="8" t="s">
        <v>528</v>
      </c>
      <c r="P1" s="8" t="s">
        <v>536</v>
      </c>
      <c r="Q1" s="8" t="s">
        <v>537</v>
      </c>
      <c r="R1" s="8" t="s">
        <v>538</v>
      </c>
      <c r="S1" s="8" t="s">
        <v>539</v>
      </c>
      <c r="T1" s="8" t="s">
        <v>540</v>
      </c>
      <c r="U1" s="8" t="s">
        <v>590</v>
      </c>
      <c r="V1" s="8" t="s">
        <v>612</v>
      </c>
      <c r="W1" s="8" t="s">
        <v>529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90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 t="shared" ref="S83:S88" si="22"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3">C84/M84</f>
        <v>0.17373466930399903</v>
      </c>
      <c r="O84" s="15">
        <f t="shared" ref="O84" si="24">D84/M84</f>
        <v>0.70148073553693191</v>
      </c>
      <c r="P84" s="15">
        <v>0</v>
      </c>
      <c r="Q84" s="15">
        <v>0</v>
      </c>
      <c r="R84" s="15">
        <v>0</v>
      </c>
      <c r="S84" s="15">
        <f t="shared" si="22"/>
        <v>8.5801426178327575E-2</v>
      </c>
      <c r="T84" s="15">
        <f t="shared" ref="T84" si="25">I84/M84</f>
        <v>0</v>
      </c>
      <c r="U84" s="15">
        <v>0</v>
      </c>
      <c r="V84" s="16">
        <f t="shared" ref="V84:V89" si="26">K84/M84</f>
        <v>3.8983168980741542E-2</v>
      </c>
      <c r="W84" s="15">
        <f t="shared" ref="W84" si="27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8">C85/M85</f>
        <v>0.17229199091431283</v>
      </c>
      <c r="O85" s="15">
        <f t="shared" ref="O85:O86" si="29">D85/M85</f>
        <v>0.74261907088599755</v>
      </c>
      <c r="P85" s="15">
        <v>0</v>
      </c>
      <c r="Q85" s="15">
        <v>0</v>
      </c>
      <c r="R85" s="15">
        <v>0</v>
      </c>
      <c r="S85" s="15">
        <f t="shared" si="22"/>
        <v>8.508893819968967E-2</v>
      </c>
      <c r="T85" s="15">
        <f t="shared" ref="T85" si="30">I85/M85</f>
        <v>0</v>
      </c>
      <c r="U85" s="15">
        <v>0</v>
      </c>
      <c r="V85" s="16">
        <f t="shared" si="26"/>
        <v>0</v>
      </c>
      <c r="W85" s="15">
        <f t="shared" ref="W85" si="31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2">C86/M86</f>
        <v>0.81923264787198491</v>
      </c>
      <c r="O86" s="15">
        <f t="shared" si="29"/>
        <v>0</v>
      </c>
      <c r="P86" s="15">
        <v>0</v>
      </c>
      <c r="Q86" s="15">
        <v>0</v>
      </c>
      <c r="R86" s="15">
        <v>0</v>
      </c>
      <c r="S86" s="15">
        <f t="shared" si="22"/>
        <v>8.3433242888893561E-2</v>
      </c>
      <c r="T86" s="15">
        <f t="shared" ref="T86" si="33">I86/M86</f>
        <v>0</v>
      </c>
      <c r="U86" s="15">
        <v>0</v>
      </c>
      <c r="V86" s="16">
        <f t="shared" si="26"/>
        <v>0</v>
      </c>
      <c r="W86" s="15">
        <f t="shared" ref="W86" si="34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5">C87/M87</f>
        <v>0.57058899710329292</v>
      </c>
      <c r="O87" s="15">
        <f t="shared" ref="O87" si="36">D87/M87</f>
        <v>0</v>
      </c>
      <c r="P87" s="15">
        <v>0</v>
      </c>
      <c r="Q87" s="15">
        <v>0</v>
      </c>
      <c r="R87" s="15">
        <v>0</v>
      </c>
      <c r="S87" s="15">
        <f t="shared" si="22"/>
        <v>8.6812687806453417E-2</v>
      </c>
      <c r="T87" s="15">
        <f t="shared" ref="T87" si="37">I87/M87</f>
        <v>0</v>
      </c>
      <c r="U87" s="15">
        <v>0</v>
      </c>
      <c r="V87" s="16">
        <f t="shared" si="26"/>
        <v>0</v>
      </c>
      <c r="W87" s="15">
        <f t="shared" ref="W87" si="38">L87/M87</f>
        <v>0.34259831509025368</v>
      </c>
    </row>
    <row r="88" spans="1:23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8">
        <v>240039</v>
      </c>
      <c r="M88" s="14">
        <f t="shared" si="0"/>
        <v>572683</v>
      </c>
      <c r="N88" s="15">
        <f t="shared" ref="N88" si="39">C88/M88</f>
        <v>0.4883818796786355</v>
      </c>
      <c r="O88" s="15">
        <f t="shared" ref="O88" si="40">D88/M88</f>
        <v>0</v>
      </c>
      <c r="P88" s="15">
        <v>0</v>
      </c>
      <c r="Q88" s="15">
        <v>0</v>
      </c>
      <c r="R88" s="15">
        <v>0</v>
      </c>
      <c r="S88" s="15">
        <f t="shared" si="22"/>
        <v>9.2470005221038515E-2</v>
      </c>
      <c r="T88" s="15">
        <f t="shared" ref="T88" si="41">I88/M88</f>
        <v>0</v>
      </c>
      <c r="U88" s="15">
        <v>0</v>
      </c>
      <c r="V88" s="16">
        <f t="shared" si="26"/>
        <v>0</v>
      </c>
      <c r="W88" s="15">
        <f t="shared" ref="W88" si="42">L88/M88</f>
        <v>0.41914811510032601</v>
      </c>
    </row>
    <row r="89" spans="1:23" x14ac:dyDescent="0.25">
      <c r="A89" s="10">
        <v>46296</v>
      </c>
      <c r="B89" s="11">
        <v>417510</v>
      </c>
      <c r="C89" s="19">
        <v>164387</v>
      </c>
      <c r="D89" s="13">
        <f>B89-C89-H89-L89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8">
        <v>240039</v>
      </c>
      <c r="M89" s="14">
        <f t="shared" si="0"/>
        <v>417510</v>
      </c>
      <c r="N89" s="15">
        <f t="shared" ref="N89" si="43">C89/M89</f>
        <v>0.39373188666139736</v>
      </c>
      <c r="O89" s="15">
        <f t="shared" ref="O89" si="44">D89/M89</f>
        <v>3.1338171540801416E-2</v>
      </c>
      <c r="P89" s="15">
        <v>0</v>
      </c>
      <c r="Q89" s="15">
        <v>0</v>
      </c>
      <c r="R89" s="15">
        <v>0</v>
      </c>
      <c r="S89" s="15">
        <f t="shared" ref="S89" si="45">H89/M89</f>
        <v>0</v>
      </c>
      <c r="T89" s="15">
        <f t="shared" ref="T89" si="46">I89/M89</f>
        <v>0</v>
      </c>
      <c r="U89" s="15">
        <v>0</v>
      </c>
      <c r="V89" s="16">
        <f t="shared" si="26"/>
        <v>0</v>
      </c>
      <c r="W89" s="15">
        <f t="shared" ref="W89" si="47">L89/M89</f>
        <v>0.57492994179780121</v>
      </c>
    </row>
    <row r="90" spans="1:23" x14ac:dyDescent="0.25">
      <c r="A90" s="10">
        <v>46297</v>
      </c>
      <c r="B90" s="11">
        <v>414176</v>
      </c>
      <c r="C90" s="19">
        <v>115219</v>
      </c>
      <c r="D90" s="13">
        <f>B90-C90-H90-L90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8">
        <v>240039</v>
      </c>
      <c r="M90" s="14">
        <f t="shared" si="0"/>
        <v>414176</v>
      </c>
      <c r="N90" s="15">
        <f t="shared" ref="N90" si="48">C90/M90</f>
        <v>0.27818849957505987</v>
      </c>
      <c r="O90" s="15">
        <f t="shared" ref="O90" si="49">D90/M90</f>
        <v>9.9614656571119523E-2</v>
      </c>
      <c r="P90" s="15">
        <v>0</v>
      </c>
      <c r="Q90" s="15">
        <v>0</v>
      </c>
      <c r="R90" s="15">
        <v>0</v>
      </c>
      <c r="S90" s="15">
        <f t="shared" ref="S90" si="50">H90/M90</f>
        <v>4.2638878158077723E-2</v>
      </c>
      <c r="T90" s="15">
        <f t="shared" ref="T90" si="51">I90/M90</f>
        <v>0</v>
      </c>
      <c r="U90" s="15">
        <v>0</v>
      </c>
      <c r="V90" s="16">
        <f t="shared" ref="V90" si="52">K90/M90</f>
        <v>0</v>
      </c>
      <c r="W90" s="15">
        <f t="shared" ref="W90" si="53">L90/M90</f>
        <v>0.57955796569574292</v>
      </c>
    </row>
    <row r="1048543" spans="1:1" x14ac:dyDescent="0.25">
      <c r="A1048543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2026-10-05T01:41:12Z</dcterms:modified>
  <cp:category/>
  <cp:contentStatus/>
</cp:coreProperties>
</file>