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C034F674-A1C6-4B48-A1BB-AE2243962848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1" i="7" l="1"/>
  <c r="S81" i="7"/>
  <c r="N81" i="7"/>
  <c r="M81" i="7"/>
  <c r="L81" i="7"/>
  <c r="G70" i="3" a="1"/>
  <c r="G70" i="3" s="1"/>
  <c r="G69" i="3" a="1"/>
  <c r="G69" i="3" s="1"/>
  <c r="G68" i="3"/>
  <c r="G66" i="3"/>
  <c r="G65" i="3"/>
  <c r="D74" i="3"/>
  <c r="C74" i="3"/>
  <c r="B74" i="3"/>
  <c r="E47" i="1"/>
  <c r="E48" i="1"/>
  <c r="V47" i="1"/>
  <c r="U47" i="1"/>
  <c r="D45" i="1"/>
  <c r="D44" i="1"/>
  <c r="D43" i="1"/>
  <c r="D42" i="1"/>
  <c r="D41" i="1"/>
  <c r="U80" i="7"/>
  <c r="S80" i="7"/>
  <c r="N80" i="7"/>
  <c r="M80" i="7"/>
  <c r="L80" i="7"/>
  <c r="D80" i="7"/>
  <c r="B73" i="3"/>
  <c r="C73" i="3" s="1"/>
  <c r="S36" i="1"/>
  <c r="D40" i="1"/>
  <c r="D73" i="3" l="1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L79" i="7" l="1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50" i="1"/>
  <c r="U56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<sst xmlns="http://schemas.openxmlformats.org/spreadsheetml/2006/main" count="857" uniqueCount="604">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</sst>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tabSelected="1" zoomScale="110" zoomScaleNormal="110" workbookViewId="0">
      <pane ySplit="1" topLeftCell="A9" activePane="bottomLeft" state="frozen"/>
      <selection activeCell="D1" sqref="D1"/>
      <selection pane="bottomLeft" activeCell="E35" sqref="E35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5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46286</v>
      </c>
      <c r="D39" s="35">
        <f t="shared" si="5"/>
        <v>5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44.8</v>
      </c>
      <c r="N39" s="47" t="s">
        <v>72</v>
      </c>
      <c r="O39" s="47">
        <v>45.66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2180</v>
      </c>
    </row>
    <row r="40" spans="1:22" x14ac:dyDescent="0.25">
      <c r="A40" s="33">
        <v>35</v>
      </c>
      <c r="B40" s="34">
        <v>46283</v>
      </c>
      <c r="C40" s="55">
        <v>46286</v>
      </c>
      <c r="D40" s="35">
        <f t="shared" si="5"/>
        <v>3</v>
      </c>
      <c r="E40" s="47" t="s">
        <v>593</v>
      </c>
      <c r="F40" s="48" t="s">
        <v>594</v>
      </c>
      <c r="G40" s="47" t="s">
        <v>23</v>
      </c>
      <c r="H40" s="48" t="s">
        <v>24</v>
      </c>
      <c r="I40" s="47" t="s">
        <v>25</v>
      </c>
      <c r="J40" s="47" t="s">
        <v>25</v>
      </c>
      <c r="K40" s="47" t="s">
        <v>593</v>
      </c>
      <c r="L40" s="47">
        <v>1000</v>
      </c>
      <c r="M40" s="47">
        <v>35.6</v>
      </c>
      <c r="N40" s="47" t="s">
        <v>72</v>
      </c>
      <c r="O40" s="47">
        <v>35.56</v>
      </c>
      <c r="P40" s="49">
        <v>35270</v>
      </c>
      <c r="Q40" s="47">
        <v>3.11</v>
      </c>
      <c r="R40" s="47" t="s">
        <v>72</v>
      </c>
      <c r="S40" s="50" t="s">
        <v>72</v>
      </c>
      <c r="T40" s="47" t="s">
        <v>72</v>
      </c>
      <c r="U40" s="49" t="s">
        <v>72</v>
      </c>
      <c r="V40" s="33">
        <v>-335</v>
      </c>
    </row>
    <row r="41" spans="1:22" x14ac:dyDescent="0.25">
      <c r="A41" s="33">
        <v>36</v>
      </c>
      <c r="B41" s="34">
        <v>46286</v>
      </c>
      <c r="C41" s="55">
        <v>46286</v>
      </c>
      <c r="D41" s="35">
        <f t="shared" si="5"/>
        <v>0</v>
      </c>
      <c r="E41" s="47" t="s">
        <v>595</v>
      </c>
      <c r="F41" s="48" t="s">
        <v>596</v>
      </c>
      <c r="G41" s="47" t="s">
        <v>23</v>
      </c>
      <c r="H41" s="48" t="s">
        <v>24</v>
      </c>
      <c r="I41" s="47" t="s">
        <v>25</v>
      </c>
      <c r="J41" s="47" t="s">
        <v>25</v>
      </c>
      <c r="K41" s="47" t="s">
        <v>595</v>
      </c>
      <c r="L41" s="47">
        <v>500</v>
      </c>
      <c r="M41" s="47">
        <v>79.78</v>
      </c>
      <c r="N41" s="47" t="s">
        <v>72</v>
      </c>
      <c r="O41" s="47">
        <v>80.23</v>
      </c>
      <c r="P41" s="49">
        <v>40005</v>
      </c>
      <c r="Q41" s="47">
        <v>2.5499999999999998</v>
      </c>
      <c r="R41" s="47" t="s">
        <v>72</v>
      </c>
      <c r="S41" s="50" t="s">
        <v>72</v>
      </c>
      <c r="T41" s="47" t="s">
        <v>72</v>
      </c>
      <c r="U41" s="49" t="s">
        <v>72</v>
      </c>
      <c r="V41" s="33">
        <v>114</v>
      </c>
    </row>
    <row r="42" spans="1:22" x14ac:dyDescent="0.25">
      <c r="A42" s="33">
        <v>37</v>
      </c>
      <c r="B42" s="34">
        <v>46286</v>
      </c>
      <c r="C42" s="55">
        <v>46286</v>
      </c>
      <c r="D42" s="35">
        <f t="shared" si="5"/>
        <v>0</v>
      </c>
      <c r="E42" s="47" t="s">
        <v>597</v>
      </c>
      <c r="F42" s="48" t="s">
        <v>598</v>
      </c>
      <c r="G42" s="47" t="s">
        <v>23</v>
      </c>
      <c r="H42" s="48" t="s">
        <v>24</v>
      </c>
      <c r="I42" s="47" t="s">
        <v>25</v>
      </c>
      <c r="J42" s="47" t="s">
        <v>25</v>
      </c>
      <c r="K42" s="47" t="s">
        <v>597</v>
      </c>
      <c r="L42" s="47">
        <v>300</v>
      </c>
      <c r="M42" s="47">
        <v>298.27</v>
      </c>
      <c r="N42" s="47" t="s">
        <v>72</v>
      </c>
      <c r="O42" s="47">
        <v>297.7</v>
      </c>
      <c r="P42" s="49">
        <v>89310</v>
      </c>
      <c r="Q42" s="47">
        <v>3.67</v>
      </c>
      <c r="R42" s="47" t="s">
        <v>72</v>
      </c>
      <c r="S42" s="50" t="s">
        <v>72</v>
      </c>
      <c r="T42" s="47" t="s">
        <v>72</v>
      </c>
      <c r="U42" s="49" t="s">
        <v>72</v>
      </c>
      <c r="V42" s="33">
        <v>-172</v>
      </c>
    </row>
    <row r="43" spans="1:22" x14ac:dyDescent="0.25">
      <c r="A43" s="33">
        <v>38</v>
      </c>
      <c r="B43" s="34">
        <v>46286</v>
      </c>
      <c r="C43" s="55">
        <v>46286</v>
      </c>
      <c r="D43" s="35">
        <f t="shared" si="5"/>
        <v>0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-100</v>
      </c>
      <c r="M43" s="47">
        <v>159.58000000000001</v>
      </c>
      <c r="N43" s="47" t="s">
        <v>72</v>
      </c>
      <c r="O43" s="47">
        <v>159.61000000000001</v>
      </c>
      <c r="P43" s="49">
        <v>15961</v>
      </c>
      <c r="Q43" s="47">
        <v>1.0900000000000001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-2</v>
      </c>
    </row>
    <row r="44" spans="1:22" x14ac:dyDescent="0.25">
      <c r="A44" s="33">
        <v>39</v>
      </c>
      <c r="B44" s="34">
        <v>46286</v>
      </c>
      <c r="C44" s="55">
        <v>46286</v>
      </c>
      <c r="D44" s="35">
        <f t="shared" si="5"/>
        <v>0</v>
      </c>
      <c r="E44" s="47" t="s">
        <v>601</v>
      </c>
      <c r="F44" s="48" t="s">
        <v>602</v>
      </c>
      <c r="G44" s="47" t="s">
        <v>23</v>
      </c>
      <c r="H44" s="48" t="s">
        <v>24</v>
      </c>
      <c r="I44" s="47" t="s">
        <v>25</v>
      </c>
      <c r="J44" s="47" t="s">
        <v>25</v>
      </c>
      <c r="K44" s="47" t="s">
        <v>601</v>
      </c>
      <c r="L44" s="47">
        <v>400</v>
      </c>
      <c r="M44" s="47">
        <v>310.77999999999997</v>
      </c>
      <c r="N44" s="47" t="s">
        <v>72</v>
      </c>
      <c r="O44" s="47">
        <v>309.07</v>
      </c>
      <c r="P44" s="49">
        <v>123628</v>
      </c>
      <c r="Q44" s="47">
        <v>5.32</v>
      </c>
      <c r="R44" s="47" t="s">
        <v>72</v>
      </c>
      <c r="S44" s="50" t="s">
        <v>72</v>
      </c>
      <c r="T44" s="47" t="s">
        <v>72</v>
      </c>
      <c r="U44" s="49" t="s">
        <v>72</v>
      </c>
      <c r="V44" s="33">
        <v>-685</v>
      </c>
    </row>
    <row r="45" spans="1:22" x14ac:dyDescent="0.25">
      <c r="A45" s="33">
        <v>40</v>
      </c>
      <c r="B45" s="34">
        <v>46286</v>
      </c>
      <c r="C45" s="55">
        <v>46286</v>
      </c>
      <c r="D45" s="35">
        <f t="shared" si="5"/>
        <v>0</v>
      </c>
      <c r="E45" s="47" t="s">
        <v>79</v>
      </c>
      <c r="F45" s="48" t="s">
        <v>603</v>
      </c>
      <c r="G45" s="47" t="s">
        <v>23</v>
      </c>
      <c r="H45" s="48" t="s">
        <v>24</v>
      </c>
      <c r="I45" s="47" t="s">
        <v>32</v>
      </c>
      <c r="J45" s="47" t="s">
        <v>534</v>
      </c>
      <c r="K45" s="47" t="s">
        <v>79</v>
      </c>
      <c r="L45" s="47">
        <v>-4</v>
      </c>
      <c r="M45" s="47">
        <v>7840.75</v>
      </c>
      <c r="N45" s="47" t="s">
        <v>72</v>
      </c>
      <c r="O45" s="47">
        <v>7836</v>
      </c>
      <c r="P45" s="49">
        <v>156718</v>
      </c>
      <c r="Q45" s="47">
        <v>8.1199999999999992</v>
      </c>
      <c r="R45" s="47" t="s">
        <v>72</v>
      </c>
      <c r="S45" s="50" t="s">
        <v>72</v>
      </c>
      <c r="T45" s="47" t="s">
        <v>72</v>
      </c>
      <c r="U45" s="49" t="s">
        <v>72</v>
      </c>
      <c r="V45" s="33">
        <v>97</v>
      </c>
    </row>
    <row r="46" spans="1:22" x14ac:dyDescent="0.25">
      <c r="F46" s="36"/>
      <c r="H46" s="36"/>
    </row>
    <row r="47" spans="1:22" x14ac:dyDescent="0.25">
      <c r="D47" s="52" t="s">
        <v>103</v>
      </c>
      <c r="E47" s="46">
        <f>AVERAGE(D2:D38)</f>
        <v>7.8648648648648649</v>
      </c>
      <c r="F47" s="36"/>
      <c r="H47" s="36"/>
      <c r="U47" s="39">
        <f>SUM(U2:U45)</f>
        <v>75745.47</v>
      </c>
      <c r="V47" s="39">
        <f>SUM(V2:V45)</f>
        <v>1197</v>
      </c>
    </row>
    <row r="48" spans="1:22" x14ac:dyDescent="0.25">
      <c r="D48" s="52" t="s">
        <v>104</v>
      </c>
      <c r="E48" s="46">
        <f>AVERAGE(D2:D11,D13,D15:D38)</f>
        <v>5</v>
      </c>
      <c r="F48" s="36"/>
      <c r="U48" s="53" t="s">
        <v>105</v>
      </c>
      <c r="V48" s="36" t="s">
        <v>106</v>
      </c>
    </row>
    <row r="49" spans="6:21" x14ac:dyDescent="0.25">
      <c r="F49" s="36"/>
      <c r="U49" s="33" t="s">
        <v>107</v>
      </c>
    </row>
    <row r="50" spans="6:21" x14ac:dyDescent="0.25">
      <c r="F50" s="36"/>
      <c r="U50" s="39">
        <f>U47+V47</f>
        <v>76942.47</v>
      </c>
    </row>
    <row r="51" spans="6:21" x14ac:dyDescent="0.25">
      <c r="F51" s="36"/>
    </row>
    <row r="52" spans="6:21" x14ac:dyDescent="0.25">
      <c r="F52" s="36"/>
      <c r="U52" s="36" t="s">
        <v>108</v>
      </c>
    </row>
    <row r="53" spans="6:21" x14ac:dyDescent="0.25">
      <c r="F53" s="36"/>
      <c r="U53" s="39">
        <v>333000</v>
      </c>
    </row>
    <row r="55" spans="6:21" x14ac:dyDescent="0.25">
      <c r="U55" s="33" t="s">
        <v>109</v>
      </c>
    </row>
    <row r="56" spans="6:21" x14ac:dyDescent="0.25">
      <c r="U56" s="54">
        <f>U50/U53</f>
        <v>0.23105846846846848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4"/>
  <sheetViews>
    <sheetView topLeftCell="A47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4" si="0">B4-B3</f>
        <v>6713.6600000000326</v>
      </c>
      <c r="D4" s="23">
        <f t="shared" ref="D4:D74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AVERAGE(C3:C74)</f>
        <v>1128.6540277777774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_xlfn.STDEV.S(C3:C74)</f>
        <v>4268.4144503935695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4.1975369192971153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_xlfn.STDEV.S(D2:D74)*SQRT(252)</f>
        <v>0.18476108185626797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PRODUCT(1+D2:D74)-1</f>
        <v>0.24369984628170194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PRODUCT(1+D2:D74)^(252/COUNT(D2:D74))-1</f>
        <v>1.1230654082968465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B73+844</f>
        <v>414719</v>
      </c>
      <c r="C74" s="5">
        <f t="shared" si="0"/>
        <v>844</v>
      </c>
      <c r="D74" s="23">
        <f t="shared" si="1"/>
        <v>2.0392630625188763E-3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N83" sqref="N8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1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46283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81" spans="1:21" x14ac:dyDescent="0.25">
      <c r="A81" s="10">
        <v>46286</v>
      </c>
      <c r="B81" s="11">
        <v>414719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8">
        <v>44000</v>
      </c>
      <c r="L81" s="14">
        <f t="shared" si="0"/>
        <v>504892</v>
      </c>
      <c r="M81" s="15">
        <f t="shared" ref="M81" si="15">C81/L81</f>
        <v>0.60245359403595222</v>
      </c>
      <c r="N81" s="15">
        <f t="shared" ref="N81" si="16">D81/L81</f>
        <v>0</v>
      </c>
      <c r="O81" s="16">
        <v>0</v>
      </c>
      <c r="P81" s="16">
        <v>0</v>
      </c>
      <c r="Q81" s="16">
        <v>0</v>
      </c>
      <c r="R81" s="16">
        <v>0</v>
      </c>
      <c r="S81" s="16">
        <f t="shared" ref="S81" si="17">I81/L81</f>
        <v>0.31039905563962195</v>
      </c>
      <c r="T81" s="16">
        <v>0</v>
      </c>
      <c r="U81" s="16">
        <f>K81/L81</f>
        <v>8.7147350324425818E-2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2026-09-22T02:08:09Z</dcterms:modified>
  <cp:category/>
  <cp:contentStatus/>
</cp:coreProperties>
</file>