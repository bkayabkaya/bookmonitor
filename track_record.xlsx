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E297F384-C279-0B49-B3C9-E27F92B49953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88" i="7" l="1"/>
  <c r="V88" i="7"/>
  <c r="T88" i="7"/>
  <c r="S88" i="7"/>
  <c r="O88" i="7"/>
  <c r="N88" i="7"/>
  <c r="M88" i="7"/>
  <c r="G79" i="3" a="1"/>
  <c r="G79" i="3" s="1"/>
  <c r="G78" i="3" a="1"/>
  <c r="G78" i="3" s="1"/>
  <c r="G77" i="3"/>
  <c r="G75" i="3"/>
  <c r="G74" i="3"/>
  <c r="D81" i="3"/>
  <c r="C81" i="3"/>
  <c r="B81" i="3"/>
  <c r="E63" i="1"/>
  <c r="E62" i="1"/>
  <c r="D59" i="1"/>
  <c r="D58" i="1"/>
  <c r="D57" i="1"/>
  <c r="D56" i="1"/>
  <c r="D55" i="1"/>
  <c r="D54" i="1"/>
  <c r="S54" i="1"/>
  <c r="P59" i="1"/>
  <c r="P58" i="1"/>
  <c r="B80" i="3"/>
  <c r="C80" i="3" s="1"/>
  <c r="W87" i="7"/>
  <c r="V87" i="7"/>
  <c r="T87" i="7"/>
  <c r="S87" i="7"/>
  <c r="M87" i="7"/>
  <c r="O87" i="7" s="1"/>
  <c r="B79" i="3"/>
  <c r="P57" i="1"/>
  <c r="P56" i="1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3" i="1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U62" i="1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N87" i="7" l="1"/>
  <c r="V62" i="1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5" i="1"/>
  <c r="U7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<sst xmlns="http://schemas.openxmlformats.org/spreadsheetml/2006/main" count="977" uniqueCount="634">
  <si>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</si>
  <si>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</si>
  <si>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</si>
  <si>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</si>
  <si>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</si>
  <si>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</si>
  <si>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</si>
  <si>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</si>
  <si>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</si>
  <si>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</si>
  <si>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</si>
  <si>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</si>
  <si>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</si>
  <si>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</si>
  <si>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</si>
  <si>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</si>
  <si>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</si>
  <si>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</si>
  <si>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</si>
  <si>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</si>
  <si>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</si>
  <si>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</si>
  <si>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</si>
  <si>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</si>
  <si>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</si>
  <si>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</si>
  <si>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</si>
  <si>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</si>
  <si>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</si>
  <si>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</si>
  <si>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</si>
  <si>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</si>
  <si>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</si>
  <si>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</si>
  <si>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</si>
  <si>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</si>
  <si>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</si>
  <si>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</si>
  <si>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</si>
  <si>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</si>
  <si>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</si>
  <si>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</si>
  <si>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</si>
  <si>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</si>
  <si>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</si>
  <si>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</si>
  <si>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</si>
  <si>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</si>
  <si>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</si>
  <si>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</si>
  <si>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</si>
  <si>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</si>
  <si>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</si>
  <si>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</si>
  <si>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</si>
  <si>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</si>
  <si>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</si>
  <si>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</si>
  <si>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</si>
  <si>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</si>
  <si>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</si>
  <si>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</si>
  <si>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</si>
  <si>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</si>
  <si>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</si>
  <si>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</si>
  <si>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</si>
  <si>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</si>
  <si>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</si>
  <si>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</si>
  <si>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</si>
  <si>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</si>
  <si>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</si>
  <si>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</si>
  <si>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</si>
  <si>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</si>
  <si>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</si>
  <si>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</si>
  <si>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</si>
  <si>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</si>
  <si>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</si>
  <si>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</si>
  <si>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</si>
  <si>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</si>
  <si>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</si>
  <si>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</si>
  <si>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</si>
  <si>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</si>
  <si>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</si>
  <si>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</si>
  <si>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</si>
  <si>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</si>
  <si>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</si>
  <si>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</si>
  <si>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</si>
  <si>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</si>
  <si>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</si>
  <si>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</si>
  <si>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</si>
  <si>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</si>
  <si>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</si>
  <si>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</si>
  <si>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</si>
  <si>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</si>
  <si>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</si>
  <si>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</si>
  <si>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</si>
  <si>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</si>
  <si>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</si>
  <si>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</si>
  <si>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</si>
  <si>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</si>
  <si>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</si>
  <si>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</si>
  <si>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</si>
  <si>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</si>
  <si>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</si>
  <si>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</si>
  <si>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</si>
  <si>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</si>
  <si>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</si>
  <si>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</si>
  <si>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</si>
  <si>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</si>
  <si>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</si>
  <si>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</si>
  <si>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</si>
  <si>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</si>
  <si>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</si>
  <si>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</si>
  <si>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</si>
  <si>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</si>
  <si>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</si>
  <si>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</si>
  <si>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</si>
  <si>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</si>
  <si>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</si>
  <si>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</si>
  <si>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</si>
  <si>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</si>
  <si>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</si>
  <si>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</si>
  <si>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</si>
  <si>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</si>
  <si>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</si>
  <si>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</si>
  <si>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</si>
  <si>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</si>
  <si>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</si>
  <si>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</si>
  <si>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</si>
  <si>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</si>
  <si>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</si>
  <si>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</si>
  <si>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</si>
  <si>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</si>
  <si>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</si>
  <si>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</si>
  <si>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</si>
  <si>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</si>
  <si>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</si>
  <si>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</si>
  <si>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</si>
  <si>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</si>
  <si>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</si>
  <si>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</si>
  <si>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</si>
  <si>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</si>
  <si>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</si>
  <si>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</si>
  <si>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</si>
  <si>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</si>
  <si>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</si>
  <si>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</si>
  <si>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</si>
  <si>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</si>
  <si>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</si>
  <si>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</si>
  <si>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</si>
  <si>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</si>
  <si>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</si>
  <si>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</si>
  <si>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</si>
  <si>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</si>
  <si>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</si>
  <si>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</si>
  <si>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</si>
  <si>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</si>
  <si>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</si>
  <si>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</si>
  <si>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</si>
  <si>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</si>
  <si>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</si>
  <si>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</si>
  <si>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</si>
  <si>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</si>
  <si>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</si>
  <si>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</si>
  <si>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</si>
  <si>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</si>
  <si>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</si>
  <si>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</si>
  <si>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</si>
  <si>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</si>
  <si>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</si>
  <si>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</si>
  <si>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</si>
  <si>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</si>
  <si>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</si>
  <si>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</si>
  <si>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</si>
  <si>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</si>
  <si>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</si>
  <si>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</si>
  <si>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</si>
  <si>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</si>
  <si>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</si>
  <si>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</si>
  <si>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</si>
  <si>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</si>
  <si>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</si>
  <si>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</si>
  <si>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</si>
  <si>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</si>
  <si>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</si>
  <si>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</si>
  <si>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</si>
  <si>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</si>
  <si>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</si>
  <si>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</si>
  <si>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</si>
  <si>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</si>
  <si>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</si>
  <si>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</si>
  <si>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</si>
  <si>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</si>
  <si>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</si>
  <si>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</si>
  <si>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</si>
  <si>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</si>
  <si>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</si>
  <si>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</si>
  <si>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</si>
  <si>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</si>
  <si>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</si>
  <si>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</si>
  <si>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</si>
  <si>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</si>
  <si>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</si>
  <si>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</si>
  <si>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</si>
  <si>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</si>
  <si>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</si>
  <si>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</si>
  <si>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</si>
  <si>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</si>
  <si>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</si>
  <si>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</si>
  <si>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</si>
  <si>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</si>
  <si>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</si>
  <si>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</si>
  <si>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</si>
  <si>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</si>
  <si>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</si>
  <si>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</si>
  <si>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</si>
  <si>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</si>
  <si>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</si>
  <si>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</si>
  <si>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</si>
  <si>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</si>
  <si>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</si>
  <si>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</si>
  <si>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</si>
  <si>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</si>
  <si>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</si>
  <si>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</si>
  <si>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</si>
  <si>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</si>
  <si>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</si>
  <si>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</si>
  <si>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</si>
  <si>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</si>
  <si>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</si>
  <si>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</si>
  <si>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</si>
  <si>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</si>
  <si>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</si>
  <si>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</si>
  <si>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</si>
  <si>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</si>
  <si>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</si>
  <si>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</si>
  <si>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</si>
  <si>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</si>
  <si>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</si>
  <si>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</si>
  <si>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</si>
  <si>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</si>
  <si>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</si>
  <si>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</si>
  <si>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</si>
  <si>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</si>
  <si>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</si>
  <si>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</si>
  <si>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</si>
  <si>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</si>
  <si>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</si>
  <si>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</si>
  <si>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</si>
  <si>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</si>
  <si>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</si>
  <si>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</si>
  <si>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</si>
  <si>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</si>
  <si>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</si>
  <si>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</si>
  <si>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</si>
  <si>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</si>
  <si>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</si>
  <si>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</si>
  <si>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</si>
  <si>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</si>
  <si>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</si>
  <si>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</si>
  <si>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</si>
  <si>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</si>
  <si>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</si>
  <si>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</si>
  <si>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</si>
  <si>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</si>
  <si>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</si>
  <si>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</si>
  <si>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</si>
  <si>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</si>
  <si>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</si>
  <si>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</si>
  <si>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</si>
  <si>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</si>
  <si>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</si>
  <si>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</si>
  <si>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</si>
  <si>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</si>
  <si>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</si>
  <si>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</si>
  <si>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</si>
  <si>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</si>
  <si>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</si>
  <si>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</si>
  <si>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</si>
  <si>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</si>
  <si>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</si>
  <si>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</si>
  <si>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</si>
  <si>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</si>
  <si>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</si>
  <si>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</si>
  <si>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</si>
  <si>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</si>
  <si>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</si>
  <si>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</si>
  <si>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</si>
  <si>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</si>
  <si>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</si>
  <si>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</si>
  <si>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</si>
  <si>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</si>
  <si>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</si>
  <si>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</si>
  <si>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</si>
  <si>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</si>
  <si>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</si>
  <si>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</si>
  <si>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</si>
  <si>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</si>
  <si>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</si>
  <si>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</si>
  <si>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</si>
  <si>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</si>
  <si>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</si>
  <si>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</si>
  <si>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</si>
  <si>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</si>
  <si>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</si>
  <si>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</si>
  <si>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</si>
  <si>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</si>
  <si>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</si>
  <si>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</si>
  <si>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</si>
  <si>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</si>
  <si>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</si>
  <si>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</si>
  <si>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</si>
  <si>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</si>
  <si>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</si>
  <si>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</si>
  <si>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</si>
  <si>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</si>
  <si>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</si>
  <si>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</si>
  <si>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</si>
  <si>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</si>
  <si>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</si>
  <si>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</si>
  <si>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</si>
  <si>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</si>
  <si>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</si>
  <si>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</si>
  <si>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</si>
  <si>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</si>
  <si>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</si>
  <si>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</si>
  <si>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</si>
  <si>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</si>
  <si>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</si>
  <si>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</si>
  <si>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</si>
  <si>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</si>
  <si>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</si>
  <si>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</si>
  <si>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</si>
  <si>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</si>
  <si>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</si>
  <si>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</si>
  <si>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</si>
  <si>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</si>
  <si>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</si>
  <si>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</si>
  <si>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</si>
  <si>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</si>
  <si>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</si>
  <si>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</si>
  <si>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</si>
  <si>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</si>
  <si>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</si>
  <si>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</si>
  <si>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</si>
  <si>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</si>
  <si>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</si>
  <si>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</si>
  <si>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</si>
  <si>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</si>
  <si>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</si>
  <si>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</si>
  <si>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</si>
  <si>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</si>
  <si>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</si>
  <si>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</si>
  <si>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</si>
  <si>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</si>
  <si>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</si>
  <si>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</si>
  <si>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</si>
  <si>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</si>
  <si>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</si>
  <si>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</si>
  <si>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</si>
  <si>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</si>
  <si>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</si>
  <si>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</si>
  <si>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</si>
  <si>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</si>
  <si>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</si>
  <si>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</si>
  <si>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</si>
  <si>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</si>
  <si>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</si>
  <si>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</si>
  <si>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</si>
  <si>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</si>
  <si>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</si>
  <si>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</si>
  <si>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</si>
  <si>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</si>
  <si>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</si>
  <si>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</si>
  <si>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</si>
  <si>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</si>
  <si>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</si>
  <si>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</si>
  <si>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</si>
  <si>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</si>
  <si>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</si>
  <si>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</si>
  <si>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</si>
  <si>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</si>
  <si>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</si>
  <si>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</si>
  <si>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</si>
  <si>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</si>
  <si>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</si>
  <si>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</si>
  <si>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</si>
  <si>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</si>
  <si>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</si>
  <si>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</si>
  <si>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</si>
  <si>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</si>
  <si>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</si>
  <si>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</si>
  <si>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</si>
  <si>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</si>
  <si>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</si>
  <si>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</si>
  <si>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</si>
  <si>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</si>
  <si>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</si>
  <si>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</si>
  <si>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</si>
  <si>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</si>
  <si>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</si>
  <si>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</si>
  <si>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</si>
  <si>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</si>
  <si>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</si>
  <si>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</si>
  <si>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</si>
  <si>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</si>
  <si>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</si>
  <si>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</si>
  <si>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</si>
  <si>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</si>
  <si>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</si>
  <si>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</si>
  <si>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</si>
  <si>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</si>
  <si>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</si>
  <si>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</si>
  <si>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</si>
  <si>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</si>
  <si>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</si>
  <si>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</si>
  <si>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</si>
  <si>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</si>
  <si>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</si>
  <si>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</si>
  <si>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</si>
  <si>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</si>
  <si>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</si>
  <si>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</si>
  <si>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</si>
  <si>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</si>
  <si>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</si>
  <si>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</si>
  <si>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</si>
  <si>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</si>
  <si>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</si>
  <si>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</si>
  <si>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</si>
  <si>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</si>
  <si>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</si>
  <si>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</si>
  <si>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</si>
  <si>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</si>
  <si>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</si>
  <si>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</si>
  <si>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</si>
  <si>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</si>
  <si>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</si>
  <si>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</si>
  <si>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</si>
  <si>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</si>
  <si>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</si>
  <si>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</si>
  <si>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</si>
  <si>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</si>
  <si>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</si>
  <si>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</si>
  <si>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</si>
  <si>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</si>
  <si>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</si>
  <si>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</si>
  <si>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</si>
  <si>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</si>
  <si>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</si>
  <si>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</si>
  <si>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</si>
  <si>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</si>
  <si>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</si>
  <si>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</si>
  <si>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</si>
  <si>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</si>
  <si>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</si>
  <si>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</si>
  <si>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</si>
  <si>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</si>
  <si>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</si>
  <si>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</si>
  <si>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</si>
  <si>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</si>
  <si>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</si>
  <si>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</si>
  <si>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</si>
  <si>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</si>
  <si>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</si>
  <si>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</si>
  <si>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</si>
  <si>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</si>
  <si>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</si>
  <si>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</si>
  <si>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</si>
  <si>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</si>
  <si>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</si>
  <si>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</si>
  <si>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</si>
  <si>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</si>
  <si>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</si>
  <si>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</si>
  <si>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</si>
  <si>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</si>
  <si>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</si>
  <si>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</si>
  <si>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</si>
  <si>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</si>
  <si>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</si>
  <si>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TIP</t>
  </si>
  <si>
    <t>iShares TIPS Bond ETF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</si>
  <si>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</si>
  <si>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</si>
  <si>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</si>
  <si>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</si>
  <si>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</si>
  <si>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</si>
  <si>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</si>
  <si>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</si>
  <si>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</si>
  <si>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VMBS</t>
  </si>
  <si>
    <t>Vanguard Mortgage Backed Securities ETF</t>
  </si>
  <si>
    <t>WAT</t>
  </si>
  <si>
    <t>Waters Corporation</t>
  </si>
  <si>
    <t>TMO</t>
  </si>
  <si>
    <t>Thermo Fisher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</si>
</sst>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Normal="100" workbookViewId="0">
      <pane ySplit="1" topLeftCell="A25" activePane="bottomLeft" state="frozen"/>
      <selection activeCell="D1" sqref="D1"/>
      <selection pane="bottomLeft" activeCell="F35" sqref="F35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5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46295</v>
      </c>
      <c r="D43" s="35">
        <f t="shared" si="5"/>
        <v>9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-200</v>
      </c>
      <c r="M43" s="47">
        <v>156.29</v>
      </c>
      <c r="N43" s="47" t="s">
        <v>72</v>
      </c>
      <c r="O43" s="47">
        <v>154.01</v>
      </c>
      <c r="P43" s="49">
        <f>ABS(M43*L43)</f>
        <v>31258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397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6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46295</v>
      </c>
      <c r="D47" s="35">
        <f t="shared" si="5"/>
        <v>7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-200</v>
      </c>
      <c r="M47" s="47">
        <v>258.43</v>
      </c>
      <c r="N47" s="47" t="s">
        <v>72</v>
      </c>
      <c r="O47" s="47">
        <v>264.33999999999997</v>
      </c>
      <c r="P47" s="49">
        <f>ABS(M47*L47)</f>
        <v>51686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-1200</v>
      </c>
    </row>
    <row r="48" spans="1:22" x14ac:dyDescent="0.25">
      <c r="A48" s="33">
        <v>43</v>
      </c>
      <c r="B48" s="34">
        <v>46288</v>
      </c>
      <c r="C48" s="55">
        <v>46295</v>
      </c>
      <c r="D48" s="35">
        <f t="shared" si="5"/>
        <v>7</v>
      </c>
      <c r="E48" s="47" t="s">
        <v>58</v>
      </c>
      <c r="F48" s="48" t="s">
        <v>59</v>
      </c>
      <c r="G48" s="47" t="s">
        <v>23</v>
      </c>
      <c r="H48" s="48" t="s">
        <v>24</v>
      </c>
      <c r="I48" s="47" t="s">
        <v>32</v>
      </c>
      <c r="J48" s="47" t="s">
        <v>532</v>
      </c>
      <c r="K48" s="47" t="s">
        <v>608</v>
      </c>
      <c r="L48" s="47">
        <v>30</v>
      </c>
      <c r="M48" s="47">
        <v>17.652000000000001</v>
      </c>
      <c r="N48" s="47" t="s">
        <v>72</v>
      </c>
      <c r="O48" s="47">
        <v>17.649999999999999</v>
      </c>
      <c r="P48" s="49">
        <f>ABS(M48*L48)*100</f>
        <v>52956.000000000007</v>
      </c>
      <c r="Q48" s="47">
        <v>9.1999999999999993</v>
      </c>
      <c r="R48" s="47" t="s">
        <v>72</v>
      </c>
      <c r="S48" s="50" t="s">
        <v>72</v>
      </c>
      <c r="T48" s="47" t="s">
        <v>72</v>
      </c>
      <c r="U48" s="49" t="s">
        <v>72</v>
      </c>
      <c r="V48" s="33">
        <v>926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0" si="9">IF(R49=1, ABS(N49-M49)/M49, 0)</f>
        <v>2.0138262699128395E-2</v>
      </c>
      <c r="T49" s="33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3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55">
        <v>46295</v>
      </c>
      <c r="D51" s="35">
        <f t="shared" si="5"/>
        <v>2</v>
      </c>
      <c r="E51" s="47" t="s">
        <v>615</v>
      </c>
      <c r="F51" s="48" t="s">
        <v>616</v>
      </c>
      <c r="G51" s="47" t="s">
        <v>23</v>
      </c>
      <c r="H51" s="48" t="s">
        <v>24</v>
      </c>
      <c r="I51" s="47" t="s">
        <v>25</v>
      </c>
      <c r="J51" s="47" t="s">
        <v>25</v>
      </c>
      <c r="K51" s="47" t="s">
        <v>615</v>
      </c>
      <c r="L51" s="47">
        <v>700</v>
      </c>
      <c r="M51" s="47">
        <v>84.41</v>
      </c>
      <c r="N51" s="47" t="s">
        <v>72</v>
      </c>
      <c r="O51" s="47">
        <v>83.71</v>
      </c>
      <c r="P51" s="49">
        <f t="shared" ref="P51:P59" si="10">ABS(M51*L51)</f>
        <v>59087</v>
      </c>
      <c r="Q51" s="47">
        <v>2.44</v>
      </c>
      <c r="R51" s="47" t="s">
        <v>72</v>
      </c>
      <c r="S51" s="50" t="s">
        <v>72</v>
      </c>
      <c r="T51" s="47" t="s">
        <v>72</v>
      </c>
      <c r="U51" s="49" t="s">
        <v>72</v>
      </c>
      <c r="V51" s="33">
        <v>-522</v>
      </c>
    </row>
    <row r="52" spans="1:22" x14ac:dyDescent="0.25">
      <c r="A52" s="33">
        <v>47</v>
      </c>
      <c r="B52" s="34">
        <v>46293</v>
      </c>
      <c r="C52" s="55">
        <v>46295</v>
      </c>
      <c r="D52" s="35">
        <f t="shared" si="5"/>
        <v>2</v>
      </c>
      <c r="E52" s="47" t="s">
        <v>617</v>
      </c>
      <c r="F52" s="48" t="s">
        <v>618</v>
      </c>
      <c r="G52" s="47" t="s">
        <v>23</v>
      </c>
      <c r="H52" s="48" t="s">
        <v>24</v>
      </c>
      <c r="I52" s="47" t="s">
        <v>48</v>
      </c>
      <c r="J52" s="47" t="s">
        <v>48</v>
      </c>
      <c r="K52" s="47" t="s">
        <v>617</v>
      </c>
      <c r="L52" s="47">
        <v>400</v>
      </c>
      <c r="M52" s="47">
        <v>104.14</v>
      </c>
      <c r="N52" s="47" t="s">
        <v>72</v>
      </c>
      <c r="O52" s="47">
        <v>104.02</v>
      </c>
      <c r="P52" s="49">
        <f t="shared" si="10"/>
        <v>41656</v>
      </c>
      <c r="Q52" s="47">
        <v>1.56</v>
      </c>
      <c r="R52" s="47" t="s">
        <v>72</v>
      </c>
      <c r="S52" s="50" t="s">
        <v>72</v>
      </c>
      <c r="T52" s="47" t="s">
        <v>72</v>
      </c>
      <c r="U52" s="49" t="s">
        <v>72</v>
      </c>
      <c r="V52" s="33">
        <v>-52</v>
      </c>
    </row>
    <row r="53" spans="1:22" x14ac:dyDescent="0.25">
      <c r="A53" s="33">
        <v>48</v>
      </c>
      <c r="B53" s="34">
        <v>46293</v>
      </c>
      <c r="C53" s="55">
        <v>46295</v>
      </c>
      <c r="D53" s="35">
        <f t="shared" si="5"/>
        <v>2</v>
      </c>
      <c r="E53" s="47" t="s">
        <v>619</v>
      </c>
      <c r="F53" s="48" t="s">
        <v>620</v>
      </c>
      <c r="G53" s="47" t="s">
        <v>23</v>
      </c>
      <c r="H53" s="48" t="s">
        <v>24</v>
      </c>
      <c r="I53" s="47" t="s">
        <v>25</v>
      </c>
      <c r="J53" s="47" t="s">
        <v>25</v>
      </c>
      <c r="K53" s="47" t="s">
        <v>619</v>
      </c>
      <c r="L53" s="47">
        <v>-110</v>
      </c>
      <c r="M53" s="47">
        <v>446.98</v>
      </c>
      <c r="N53" s="47" t="s">
        <v>72</v>
      </c>
      <c r="O53" s="47">
        <v>457.08</v>
      </c>
      <c r="P53" s="49">
        <f t="shared" si="10"/>
        <v>49167.8</v>
      </c>
      <c r="Q53" s="47">
        <v>2.33</v>
      </c>
      <c r="R53" s="47" t="s">
        <v>72</v>
      </c>
      <c r="S53" s="50" t="s">
        <v>72</v>
      </c>
      <c r="T53" s="47" t="s">
        <v>72</v>
      </c>
      <c r="U53" s="49" t="s">
        <v>72</v>
      </c>
      <c r="V53" s="33">
        <v>-990</v>
      </c>
    </row>
    <row r="54" spans="1:22" x14ac:dyDescent="0.25">
      <c r="A54" s="33">
        <v>49</v>
      </c>
      <c r="B54" s="34">
        <v>46293</v>
      </c>
      <c r="C54" s="34">
        <v>46295</v>
      </c>
      <c r="D54" s="35">
        <f t="shared" si="5"/>
        <v>2</v>
      </c>
      <c r="E54" s="33" t="s">
        <v>621</v>
      </c>
      <c r="F54" s="36" t="s">
        <v>622</v>
      </c>
      <c r="G54" s="33" t="s">
        <v>23</v>
      </c>
      <c r="H54" s="36" t="s">
        <v>24</v>
      </c>
      <c r="I54" s="33" t="s">
        <v>25</v>
      </c>
      <c r="J54" s="33" t="s">
        <v>25</v>
      </c>
      <c r="K54" s="33" t="s">
        <v>621</v>
      </c>
      <c r="L54" s="33">
        <v>4000</v>
      </c>
      <c r="M54" s="33">
        <v>20.27</v>
      </c>
      <c r="N54" s="33">
        <v>20.21</v>
      </c>
      <c r="O54" s="33">
        <v>20.21</v>
      </c>
      <c r="P54" s="39">
        <f t="shared" si="10"/>
        <v>81080</v>
      </c>
      <c r="Q54" s="33">
        <v>5.4</v>
      </c>
      <c r="R54" s="33">
        <v>0</v>
      </c>
      <c r="S54" s="40">
        <f t="shared" ref="S54" si="11">IF(R54=1, ABS(N54-M54)/M54, 0)</f>
        <v>0</v>
      </c>
      <c r="T54" s="33">
        <v>-214</v>
      </c>
      <c r="U54" s="45">
        <v>-214</v>
      </c>
      <c r="V54" s="33">
        <v>0</v>
      </c>
    </row>
    <row r="55" spans="1:22" x14ac:dyDescent="0.25">
      <c r="A55" s="33">
        <v>50</v>
      </c>
      <c r="B55" s="34">
        <v>46294</v>
      </c>
      <c r="C55" s="55">
        <v>46295</v>
      </c>
      <c r="D55" s="35">
        <f t="shared" si="5"/>
        <v>1</v>
      </c>
      <c r="E55" s="47" t="s">
        <v>623</v>
      </c>
      <c r="F55" s="48" t="s">
        <v>624</v>
      </c>
      <c r="G55" s="47" t="s">
        <v>30</v>
      </c>
      <c r="H55" s="48" t="s">
        <v>625</v>
      </c>
      <c r="I55" s="47" t="s">
        <v>48</v>
      </c>
      <c r="J55" s="47" t="s">
        <v>48</v>
      </c>
      <c r="K55" s="47" t="s">
        <v>623</v>
      </c>
      <c r="L55" s="47">
        <v>200</v>
      </c>
      <c r="M55" s="47">
        <v>280.43</v>
      </c>
      <c r="N55" s="47" t="s">
        <v>72</v>
      </c>
      <c r="O55" s="47">
        <v>278</v>
      </c>
      <c r="P55" s="49">
        <f t="shared" si="10"/>
        <v>56086</v>
      </c>
      <c r="Q55" s="47">
        <v>3.11</v>
      </c>
      <c r="R55" s="47" t="s">
        <v>72</v>
      </c>
      <c r="S55" s="50" t="s">
        <v>72</v>
      </c>
      <c r="T55" s="47" t="s">
        <v>72</v>
      </c>
      <c r="U55" s="49" t="s">
        <v>72</v>
      </c>
      <c r="V55" s="33">
        <v>-477</v>
      </c>
    </row>
    <row r="56" spans="1:22" x14ac:dyDescent="0.25">
      <c r="A56" s="33">
        <v>50</v>
      </c>
      <c r="B56" s="34">
        <v>46294</v>
      </c>
      <c r="C56" s="55">
        <v>46295</v>
      </c>
      <c r="D56" s="35">
        <f t="shared" si="5"/>
        <v>1</v>
      </c>
      <c r="E56" s="47" t="s">
        <v>626</v>
      </c>
      <c r="F56" s="48" t="s">
        <v>627</v>
      </c>
      <c r="G56" s="47" t="s">
        <v>30</v>
      </c>
      <c r="H56" s="48" t="s">
        <v>625</v>
      </c>
      <c r="I56" s="47" t="s">
        <v>48</v>
      </c>
      <c r="J56" s="47" t="s">
        <v>48</v>
      </c>
      <c r="K56" s="47" t="s">
        <v>626</v>
      </c>
      <c r="L56" s="47">
        <v>-70</v>
      </c>
      <c r="M56" s="47">
        <v>765.18</v>
      </c>
      <c r="N56" s="47" t="s">
        <v>72</v>
      </c>
      <c r="O56" s="47">
        <v>764.59</v>
      </c>
      <c r="P56" s="49">
        <f t="shared" si="10"/>
        <v>53562.6</v>
      </c>
      <c r="Q56" s="47">
        <v>3.11</v>
      </c>
      <c r="R56" s="47" t="s">
        <v>72</v>
      </c>
      <c r="S56" s="50" t="s">
        <v>72</v>
      </c>
      <c r="T56" s="47" t="s">
        <v>72</v>
      </c>
      <c r="U56" s="49" t="s">
        <v>72</v>
      </c>
      <c r="V56" s="33">
        <v>198</v>
      </c>
    </row>
    <row r="57" spans="1:22" x14ac:dyDescent="0.25">
      <c r="A57" s="33">
        <v>51</v>
      </c>
      <c r="B57" s="34">
        <v>46294</v>
      </c>
      <c r="C57" s="55">
        <v>46295</v>
      </c>
      <c r="D57" s="35">
        <f t="shared" si="5"/>
        <v>1</v>
      </c>
      <c r="E57" s="47" t="s">
        <v>628</v>
      </c>
      <c r="F57" s="48" t="s">
        <v>629</v>
      </c>
      <c r="G57" s="47" t="s">
        <v>23</v>
      </c>
      <c r="H57" s="48" t="s">
        <v>24</v>
      </c>
      <c r="I57" s="47" t="s">
        <v>48</v>
      </c>
      <c r="J57" s="47" t="s">
        <v>48</v>
      </c>
      <c r="K57" s="47" t="s">
        <v>628</v>
      </c>
      <c r="L57" s="47">
        <v>2000</v>
      </c>
      <c r="M57" s="47">
        <v>44.366999999999997</v>
      </c>
      <c r="N57" s="47" t="s">
        <v>72</v>
      </c>
      <c r="O57" s="47">
        <v>44.48</v>
      </c>
      <c r="P57" s="49">
        <f t="shared" si="10"/>
        <v>88734</v>
      </c>
      <c r="Q57" s="47">
        <v>3.11</v>
      </c>
      <c r="R57" s="47" t="s">
        <v>72</v>
      </c>
      <c r="S57" s="50" t="s">
        <v>72</v>
      </c>
      <c r="T57" s="47" t="s">
        <v>72</v>
      </c>
      <c r="U57" s="49" t="s">
        <v>72</v>
      </c>
      <c r="V57" s="33">
        <v>87</v>
      </c>
    </row>
    <row r="58" spans="1:22" x14ac:dyDescent="0.25">
      <c r="A58" s="33">
        <v>52</v>
      </c>
      <c r="B58" s="34">
        <v>46295</v>
      </c>
      <c r="C58" s="55">
        <v>46295</v>
      </c>
      <c r="D58" s="35">
        <f t="shared" si="5"/>
        <v>0</v>
      </c>
      <c r="E58" s="47" t="s">
        <v>630</v>
      </c>
      <c r="F58" s="48" t="s">
        <v>631</v>
      </c>
      <c r="G58" s="47" t="s">
        <v>23</v>
      </c>
      <c r="H58" s="48" t="s">
        <v>24</v>
      </c>
      <c r="I58" s="47" t="s">
        <v>25</v>
      </c>
      <c r="J58" s="47" t="s">
        <v>25</v>
      </c>
      <c r="K58" s="47" t="s">
        <v>630</v>
      </c>
      <c r="L58" s="47">
        <v>-100</v>
      </c>
      <c r="M58" s="47">
        <v>446.99</v>
      </c>
      <c r="N58" s="47" t="s">
        <v>72</v>
      </c>
      <c r="O58" s="47">
        <v>445.2</v>
      </c>
      <c r="P58" s="49">
        <f t="shared" si="10"/>
        <v>44699</v>
      </c>
      <c r="Q58" s="47">
        <v>2.4700000000000002</v>
      </c>
      <c r="R58" s="47" t="s">
        <v>72</v>
      </c>
      <c r="S58" s="50" t="s">
        <v>72</v>
      </c>
      <c r="T58" s="47" t="s">
        <v>72</v>
      </c>
      <c r="U58" s="49" t="s">
        <v>72</v>
      </c>
      <c r="V58" s="33">
        <v>760</v>
      </c>
    </row>
    <row r="59" spans="1:22" x14ac:dyDescent="0.25">
      <c r="A59" s="33">
        <v>53</v>
      </c>
      <c r="B59" s="34">
        <v>46295</v>
      </c>
      <c r="C59" s="55">
        <v>46295</v>
      </c>
      <c r="D59" s="35">
        <f t="shared" si="5"/>
        <v>0</v>
      </c>
      <c r="E59" s="47" t="s">
        <v>632</v>
      </c>
      <c r="F59" s="48" t="s">
        <v>633</v>
      </c>
      <c r="G59" s="47" t="s">
        <v>23</v>
      </c>
      <c r="H59" s="48" t="s">
        <v>24</v>
      </c>
      <c r="I59" s="47" t="s">
        <v>25</v>
      </c>
      <c r="J59" s="47" t="s">
        <v>25</v>
      </c>
      <c r="K59" s="47" t="s">
        <v>632</v>
      </c>
      <c r="L59" s="47">
        <v>-100</v>
      </c>
      <c r="M59" s="47">
        <v>672.45</v>
      </c>
      <c r="N59" s="47" t="s">
        <v>72</v>
      </c>
      <c r="O59" s="47">
        <v>680.77</v>
      </c>
      <c r="P59" s="49">
        <f t="shared" si="10"/>
        <v>67245</v>
      </c>
      <c r="Q59" s="47">
        <v>3.45</v>
      </c>
      <c r="R59" s="47" t="s">
        <v>72</v>
      </c>
      <c r="S59" s="50" t="s">
        <v>72</v>
      </c>
      <c r="T59" s="47" t="s">
        <v>72</v>
      </c>
      <c r="U59" s="49" t="s">
        <v>72</v>
      </c>
      <c r="V59" s="33">
        <v>-108</v>
      </c>
    </row>
    <row r="60" spans="1:22" x14ac:dyDescent="0.25">
      <c r="B60" s="34"/>
      <c r="C60" s="34"/>
      <c r="D60" s="35"/>
      <c r="F60" s="36"/>
      <c r="H60" s="36"/>
      <c r="P60" s="39"/>
      <c r="S60" s="40"/>
      <c r="U60" s="39"/>
    </row>
    <row r="61" spans="1:22" x14ac:dyDescent="0.25">
      <c r="F61" s="36"/>
      <c r="H61" s="36"/>
    </row>
    <row r="62" spans="1:22" x14ac:dyDescent="0.25">
      <c r="D62" s="52" t="s">
        <v>103</v>
      </c>
      <c r="E62" s="46">
        <f>AVERAGE(D2:D59)</f>
        <v>5.9482758620689653</v>
      </c>
      <c r="F62" s="36"/>
      <c r="H62" s="36"/>
      <c r="U62" s="39">
        <f>SUM(U2:U50)</f>
        <v>82039.47</v>
      </c>
      <c r="V62" s="39">
        <f>SUM(V2:V59)</f>
        <v>-981</v>
      </c>
    </row>
    <row r="63" spans="1:22" x14ac:dyDescent="0.25">
      <c r="D63" s="52" t="s">
        <v>104</v>
      </c>
      <c r="E63" s="46">
        <f>AVERAGE(D2:D11,D13,D15:D59)</f>
        <v>4.0892857142857144</v>
      </c>
      <c r="F63" s="36"/>
      <c r="U63" s="53" t="s">
        <v>105</v>
      </c>
      <c r="V63" s="36" t="s">
        <v>106</v>
      </c>
    </row>
    <row r="64" spans="1:22" x14ac:dyDescent="0.25">
      <c r="F64" s="36"/>
      <c r="U64" s="33" t="s">
        <v>107</v>
      </c>
    </row>
    <row r="65" spans="6:21" x14ac:dyDescent="0.25">
      <c r="F65" s="36"/>
      <c r="U65" s="39">
        <f>U62+V62</f>
        <v>81058.47</v>
      </c>
    </row>
    <row r="66" spans="6:21" x14ac:dyDescent="0.25">
      <c r="F66" s="36"/>
    </row>
    <row r="67" spans="6:21" x14ac:dyDescent="0.25">
      <c r="F67" s="36"/>
      <c r="U67" s="36" t="s">
        <v>108</v>
      </c>
    </row>
    <row r="68" spans="6:21" x14ac:dyDescent="0.25">
      <c r="F68" s="36"/>
      <c r="U68" s="39">
        <v>333000</v>
      </c>
    </row>
    <row r="70" spans="6:21" x14ac:dyDescent="0.25">
      <c r="U70" s="33" t="s">
        <v>109</v>
      </c>
    </row>
    <row r="71" spans="6:21" x14ac:dyDescent="0.25">
      <c r="U71" s="54">
        <f>U65/U68</f>
        <v>0.24341882882882884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1"/>
  <sheetViews>
    <sheetView topLeftCell="A60" zoomScale="200" zoomScaleNormal="200" workbookViewId="0">
      <selection activeCell="B87" sqref="B87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1" si="0">B4-B3</f>
        <v>6713.6600000000326</v>
      </c>
      <c r="D4" s="23">
        <f t="shared" ref="D4:D81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AVERAGE(C3:C81)</f>
        <v>1059.2289873417717</v>
      </c>
      <c r="I74" s="27"/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_xlfn.STDEV.S(C3:C81)</f>
        <v>4143.4721139666781</v>
      </c>
      <c r="I75" s="27"/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4.0581276835879025</v>
      </c>
      <c r="I76" s="28"/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_xlfn.STDEV.S(D2:D81)*SQRT(252)</f>
        <v>0.17881827902957989</v>
      </c>
      <c r="I77" s="29"/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PRODUCT(1+D2:D81)-1</f>
        <v>0.25094518307267766</v>
      </c>
      <c r="I78" s="29"/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PRODUCT(1+D2:D81)^(252/COUNT(D2:D81))-1</f>
        <v>1.0244198140350593</v>
      </c>
      <c r="I79" s="29"/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B80+128</f>
        <v>417135</v>
      </c>
      <c r="C81" s="5">
        <f t="shared" si="0"/>
        <v>128</v>
      </c>
      <c r="D81" s="23">
        <f t="shared" si="1"/>
        <v>3.0694928382497176E-4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A88" sqref="A88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88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2">C84/M84</f>
        <v>0.17373466930399903</v>
      </c>
      <c r="O84" s="15">
        <f t="shared" ref="O84" si="23">D84/M84</f>
        <v>0.70148073553693191</v>
      </c>
      <c r="P84" s="15">
        <v>0</v>
      </c>
      <c r="Q84" s="15">
        <v>0</v>
      </c>
      <c r="R84" s="15">
        <v>0</v>
      </c>
      <c r="S84" s="15">
        <f>H84/M84</f>
        <v>8.5801426178327575E-2</v>
      </c>
      <c r="T84" s="15">
        <f t="shared" ref="T84" si="24">I84/M84</f>
        <v>0</v>
      </c>
      <c r="U84" s="15">
        <v>0</v>
      </c>
      <c r="V84" s="16">
        <f>K84/M84</f>
        <v>3.8983168980741542E-2</v>
      </c>
      <c r="W84" s="15">
        <f t="shared" ref="W84" si="25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6">C85/M85</f>
        <v>0.17229199091431283</v>
      </c>
      <c r="O85" s="15">
        <f t="shared" ref="O85:O86" si="27">D85/M85</f>
        <v>0.74261907088599755</v>
      </c>
      <c r="P85" s="15">
        <v>0</v>
      </c>
      <c r="Q85" s="15">
        <v>0</v>
      </c>
      <c r="R85" s="15">
        <v>0</v>
      </c>
      <c r="S85" s="15">
        <f>H85/M85</f>
        <v>8.508893819968967E-2</v>
      </c>
      <c r="T85" s="15">
        <f t="shared" ref="T85" si="28">I85/M85</f>
        <v>0</v>
      </c>
      <c r="U85" s="15">
        <v>0</v>
      </c>
      <c r="V85" s="16">
        <f>K85/M85</f>
        <v>0</v>
      </c>
      <c r="W85" s="15">
        <f t="shared" ref="W85" si="29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0">C86/M86</f>
        <v>0.81923264787198491</v>
      </c>
      <c r="O86" s="15">
        <f t="shared" si="27"/>
        <v>0</v>
      </c>
      <c r="P86" s="15">
        <v>0</v>
      </c>
      <c r="Q86" s="15">
        <v>0</v>
      </c>
      <c r="R86" s="15">
        <v>0</v>
      </c>
      <c r="S86" s="15">
        <f>H86/M86</f>
        <v>8.3433242888893561E-2</v>
      </c>
      <c r="T86" s="15">
        <f t="shared" ref="T86" si="31">I86/M86</f>
        <v>0</v>
      </c>
      <c r="U86" s="15">
        <v>0</v>
      </c>
      <c r="V86" s="16">
        <f>K86/M86</f>
        <v>0</v>
      </c>
      <c r="W86" s="15">
        <f t="shared" ref="W86" si="32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3">C87/M87</f>
        <v>0.57058899710329292</v>
      </c>
      <c r="O87" s="15">
        <f t="shared" ref="O87" si="34">D87/M87</f>
        <v>0</v>
      </c>
      <c r="P87" s="15">
        <v>0</v>
      </c>
      <c r="Q87" s="15">
        <v>0</v>
      </c>
      <c r="R87" s="15">
        <v>0</v>
      </c>
      <c r="S87" s="15">
        <f>H87/M87</f>
        <v>8.6812687806453417E-2</v>
      </c>
      <c r="T87" s="15">
        <f t="shared" ref="T87" si="35">I87/M87</f>
        <v>0</v>
      </c>
      <c r="U87" s="15">
        <v>0</v>
      </c>
      <c r="V87" s="16">
        <f>K87/M87</f>
        <v>0</v>
      </c>
      <c r="W87" s="15">
        <f t="shared" ref="W87" si="36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7">C88/M88</f>
        <v>0.4883818796786355</v>
      </c>
      <c r="O88" s="15">
        <f t="shared" ref="O88" si="38">D88/M88</f>
        <v>0</v>
      </c>
      <c r="P88" s="15">
        <v>0</v>
      </c>
      <c r="Q88" s="15">
        <v>0</v>
      </c>
      <c r="R88" s="15">
        <v>0</v>
      </c>
      <c r="S88" s="15">
        <f>H88/M88</f>
        <v>9.2470005221038515E-2</v>
      </c>
      <c r="T88" s="15">
        <f t="shared" ref="T88" si="39">I88/M88</f>
        <v>0</v>
      </c>
      <c r="U88" s="15">
        <v>0</v>
      </c>
      <c r="V88" s="16">
        <f>K88/M88</f>
        <v>0</v>
      </c>
      <c r="W88" s="15">
        <f t="shared" ref="W88" si="40">L88/M88</f>
        <v>0.41914811510032601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2026-09-30T20:24:47Z</dcterms:modified>
  <cp:category/>
  <cp:contentStatus/>
</cp:coreProperties>
</file>