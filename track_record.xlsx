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28FB3A79-3769-8C46-A059-EF6AEC52268D}" xr6:coauthVersionLast="47" xr6:coauthVersionMax="47" xr10:uidLastSave="{00000000-0000-0000-0000-000000000000}"/>
  <bookViews>
    <workbookView xWindow="-1080" yWindow="-42260" windowWidth="48520" windowHeight="3258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5" i="3" l="1"/>
  <c r="V47" i="1"/>
  <c r="V66" i="1" s="1"/>
  <c r="D92" i="7"/>
  <c r="C85" i="3"/>
  <c r="D85" i="3" s="1"/>
  <c r="S55" i="1"/>
  <c r="S54" i="1"/>
  <c r="S43" i="1"/>
  <c r="B84" i="3"/>
  <c r="S60" i="1"/>
  <c r="M91" i="7"/>
  <c r="Q91" i="7" s="1"/>
  <c r="P47" i="1"/>
  <c r="P43" i="1"/>
  <c r="C84" i="3"/>
  <c r="D60" i="1"/>
  <c r="W90" i="7"/>
  <c r="V90" i="7"/>
  <c r="T90" i="7"/>
  <c r="S90" i="7"/>
  <c r="O90" i="7"/>
  <c r="N90" i="7"/>
  <c r="M90" i="7"/>
  <c r="D90" i="7"/>
  <c r="U66" i="1"/>
  <c r="P59" i="1"/>
  <c r="D59" i="1"/>
  <c r="D83" i="3"/>
  <c r="C83" i="3"/>
  <c r="B83" i="3"/>
  <c r="S52" i="1"/>
  <c r="M92" i="7" l="1"/>
  <c r="G78" i="3" a="1"/>
  <c r="G78" i="3" s="1"/>
  <c r="G77" i="3"/>
  <c r="G79" i="3" a="1"/>
  <c r="G79" i="3" s="1"/>
  <c r="G74" i="3"/>
  <c r="G75" i="3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58" i="1"/>
  <c r="P58" i="1"/>
  <c r="D58" i="1"/>
  <c r="S57" i="1"/>
  <c r="S56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S53" i="1"/>
  <c r="P57" i="1"/>
  <c r="P56" i="1"/>
  <c r="B80" i="3"/>
  <c r="C80" i="3" s="1"/>
  <c r="W87" i="7"/>
  <c r="V87" i="7"/>
  <c r="T87" i="7"/>
  <c r="S87" i="7"/>
  <c r="M87" i="7"/>
  <c r="O87" i="7" s="1"/>
  <c r="B79" i="3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V92" i="7" l="1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G76" i="3" l="1"/>
  <c r="U77" i="7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67" i="1" l="1"/>
  <c r="E66" i="1"/>
  <c r="D3" i="3"/>
  <c r="U69" i="1"/>
  <c r="U7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<sst xmlns="http://schemas.openxmlformats.org/spreadsheetml/2006/main" count="939" uniqueCount="631">
  <si>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</si>
  <si>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</si>
  <si>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</si>
  <si>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</si>
  <si>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</si>
  <si>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</si>
  <si>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</si>
  <si>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</si>
  <si>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</si>
  <si>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</si>
  <si>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</si>
  <si>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</si>
  <si>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</si>
  <si>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</si>
  <si>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</si>
  <si>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</si>
  <si>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</si>
  <si>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</si>
  <si>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</si>
  <si>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</si>
  <si>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</si>
  <si>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</si>
  <si>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</si>
  <si>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</si>
  <si>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</si>
  <si>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</si>
  <si>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</si>
  <si>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</si>
  <si>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</si>
  <si>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</si>
  <si>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</si>
  <si>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</si>
  <si>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</si>
  <si>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</si>
  <si>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</si>
  <si>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</si>
  <si>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</si>
  <si>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</si>
  <si>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</si>
  <si>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</si>
  <si>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</si>
  <si>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</si>
  <si>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</si>
  <si>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</si>
  <si>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</si>
  <si>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</si>
  <si>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</si>
  <si>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</si>
  <si>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</si>
  <si>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</si>
  <si>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</si>
  <si>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</si>
  <si>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</si>
  <si>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</si>
  <si>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</si>
  <si>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</si>
  <si>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</si>
  <si>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</si>
  <si>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</si>
  <si>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</si>
  <si>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</si>
  <si>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</si>
  <si>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</si>
  <si>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</si>
  <si>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</si>
  <si>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</si>
  <si>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</si>
  <si>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</si>
  <si>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</si>
  <si>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</si>
  <si>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</si>
  <si>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</si>
  <si>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</si>
  <si>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</si>
  <si>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</si>
  <si>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</si>
  <si>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</si>
  <si>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</si>
  <si>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</si>
  <si>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</si>
  <si>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</si>
  <si>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</si>
  <si>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</si>
  <si>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</si>
  <si>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</si>
  <si>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</si>
  <si>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</si>
  <si>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</si>
  <si>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</si>
  <si>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</si>
  <si>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</si>
  <si>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</si>
  <si>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</si>
  <si>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</si>
  <si>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</si>
  <si>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</si>
  <si>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</si>
  <si>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</si>
  <si>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</si>
  <si>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</si>
  <si>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</si>
  <si>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</si>
  <si>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</si>
  <si>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</si>
  <si>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</si>
  <si>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</si>
  <si>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</si>
  <si>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</si>
  <si>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</si>
  <si>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</si>
  <si>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</si>
  <si>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</si>
  <si>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</si>
  <si>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</si>
  <si>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</si>
  <si>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</si>
  <si>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</si>
  <si>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</si>
  <si>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</si>
  <si>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</si>
  <si>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</si>
  <si>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</si>
  <si>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</si>
  <si>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</si>
  <si>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</si>
  <si>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</si>
  <si>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</si>
  <si>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</si>
  <si>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</si>
  <si>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</si>
  <si>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</si>
  <si>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</si>
  <si>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</si>
  <si>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</si>
  <si>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</si>
  <si>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</si>
  <si>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</si>
  <si>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</si>
  <si>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</si>
  <si>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</si>
  <si>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</si>
  <si>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</si>
  <si>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</si>
  <si>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</si>
  <si>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</si>
  <si>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</si>
  <si>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</si>
  <si>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</si>
  <si>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</si>
  <si>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</si>
  <si>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</si>
  <si>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</si>
  <si>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</si>
  <si>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</si>
  <si>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</si>
  <si>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</si>
  <si>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</si>
  <si>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</si>
  <si>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</si>
  <si>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</si>
  <si>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</si>
  <si>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</si>
  <si>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</si>
  <si>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</si>
  <si>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</si>
  <si>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</si>
  <si>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</si>
  <si>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</si>
  <si>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</si>
  <si>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</si>
  <si>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</si>
  <si>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</si>
  <si>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</si>
  <si>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</si>
  <si>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</si>
  <si>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</si>
  <si>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</si>
  <si>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</si>
  <si>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</si>
  <si>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</si>
  <si>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</si>
  <si>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</si>
  <si>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</si>
  <si>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</si>
  <si>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</si>
  <si>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</si>
  <si>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</si>
  <si>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</si>
  <si>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</si>
  <si>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</si>
  <si>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</si>
  <si>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</si>
  <si>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</si>
  <si>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</si>
  <si>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</si>
  <si>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</si>
  <si>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</si>
  <si>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</si>
  <si>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</si>
  <si>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</si>
  <si>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</si>
  <si>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</si>
  <si>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</si>
  <si>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</si>
  <si>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</si>
  <si>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</si>
  <si>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</si>
  <si>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</si>
  <si>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</si>
  <si>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</si>
  <si>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</si>
  <si>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</si>
  <si>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</si>
  <si>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</si>
  <si>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</si>
  <si>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</si>
  <si>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</si>
  <si>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</si>
  <si>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</si>
  <si>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</si>
  <si>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</si>
  <si>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</si>
  <si>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</si>
  <si>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</si>
  <si>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</si>
  <si>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</si>
  <si>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</si>
  <si>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</si>
  <si>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</si>
  <si>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</si>
  <si>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</si>
  <si>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</si>
  <si>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</si>
  <si>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</si>
  <si>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</si>
  <si>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</si>
  <si>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</si>
  <si>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</si>
  <si>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</si>
  <si>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</si>
  <si>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</si>
  <si>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</si>
  <si>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</si>
  <si>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</si>
  <si>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</si>
  <si>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</si>
  <si>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</si>
  <si>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</si>
  <si>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</si>
  <si>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</si>
  <si>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</si>
  <si>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</si>
  <si>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</si>
  <si>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</si>
  <si>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</si>
  <si>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</si>
  <si>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</si>
  <si>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</si>
  <si>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</si>
  <si>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</si>
  <si>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</si>
  <si>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</si>
  <si>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</si>
  <si>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</si>
  <si>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</si>
  <si>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</si>
  <si>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</si>
  <si>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</si>
  <si>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</si>
  <si>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</si>
  <si>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</si>
  <si>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</si>
  <si>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</si>
  <si>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</si>
  <si>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</si>
  <si>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</si>
  <si>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</si>
  <si>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</si>
  <si>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</si>
  <si>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</si>
  <si>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</si>
  <si>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</si>
  <si>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</si>
  <si>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</si>
  <si>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</si>
  <si>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</si>
  <si>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</si>
  <si>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</si>
  <si>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</si>
  <si>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</si>
  <si>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</si>
  <si>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</si>
  <si>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</si>
  <si>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</si>
  <si>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</si>
  <si>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</si>
  <si>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</si>
  <si>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</si>
  <si>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</si>
  <si>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</si>
  <si>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</si>
  <si>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</si>
  <si>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</si>
  <si>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</si>
  <si>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</si>
  <si>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</si>
  <si>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</si>
  <si>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</si>
  <si>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</si>
  <si>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</si>
  <si>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</si>
  <si>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</si>
  <si>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</si>
  <si>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</si>
  <si>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</si>
  <si>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</si>
  <si>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</si>
  <si>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</si>
  <si>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</si>
  <si>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</si>
  <si>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</si>
  <si>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</si>
  <si>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</si>
  <si>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</si>
  <si>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</si>
  <si>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</si>
  <si>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</si>
  <si>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</si>
  <si>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</si>
  <si>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</si>
  <si>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</si>
  <si>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</si>
  <si>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</si>
  <si>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</si>
  <si>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</si>
  <si>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</si>
  <si>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</si>
  <si>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</si>
  <si>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</si>
  <si>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</si>
  <si>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</si>
  <si>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</si>
  <si>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</si>
  <si>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</si>
  <si>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</si>
  <si>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</si>
  <si>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</si>
  <si>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</si>
  <si>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</si>
  <si>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</si>
  <si>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</si>
  <si>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</si>
  <si>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</si>
  <si>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</si>
  <si>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</si>
  <si>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</si>
  <si>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</si>
  <si>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</si>
  <si>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</si>
  <si>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</si>
  <si>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</si>
  <si>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</si>
  <si>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</si>
  <si>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</si>
  <si>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</si>
  <si>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</si>
  <si>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</si>
  <si>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</si>
  <si>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</si>
  <si>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</si>
  <si>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</si>
  <si>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</si>
  <si>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</si>
  <si>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</si>
  <si>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</si>
  <si>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</si>
  <si>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</si>
  <si>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</si>
  <si>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</si>
  <si>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</si>
  <si>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</si>
  <si>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</si>
  <si>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</si>
  <si>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</si>
  <si>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</si>
  <si>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</si>
  <si>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</si>
  <si>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</si>
  <si>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</si>
  <si>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</si>
  <si>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</si>
  <si>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</si>
  <si>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</si>
  <si>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</si>
  <si>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</si>
  <si>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</si>
  <si>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</si>
  <si>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</si>
  <si>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</si>
  <si>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</si>
  <si>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</si>
  <si>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</si>
  <si>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</si>
  <si>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</si>
  <si>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</si>
  <si>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</si>
  <si>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</si>
  <si>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</si>
  <si>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</si>
  <si>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</si>
  <si>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</si>
  <si>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</si>
  <si>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</si>
  <si>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</si>
  <si>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</si>
  <si>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</si>
  <si>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</si>
  <si>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</si>
  <si>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</si>
  <si>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</si>
  <si>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</si>
  <si>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</si>
  <si>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</si>
  <si>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</si>
  <si>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</si>
  <si>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</si>
  <si>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</si>
  <si>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</si>
  <si>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</si>
  <si>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</si>
  <si>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</si>
  <si>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</si>
  <si>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</si>
  <si>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</si>
  <si>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</si>
  <si>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</si>
  <si>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</si>
  <si>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</si>
  <si>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</si>
  <si>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</si>
  <si>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</si>
  <si>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</si>
  <si>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</si>
  <si>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</si>
  <si>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</si>
  <si>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</si>
  <si>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</si>
  <si>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</si>
  <si>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</si>
  <si>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</si>
  <si>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</si>
  <si>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</si>
  <si>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</si>
  <si>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</si>
  <si>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</si>
  <si>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</si>
  <si>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</si>
  <si>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</si>
  <si>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</si>
  <si>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</si>
  <si>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</si>
  <si>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</si>
  <si>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</si>
  <si>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</si>
  <si>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</si>
  <si>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</si>
  <si>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</si>
  <si>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</si>
  <si>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</si>
  <si>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</si>
  <si>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</si>
  <si>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</si>
  <si>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</si>
  <si>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</si>
  <si>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</si>
  <si>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</si>
  <si>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</si>
  <si>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</si>
  <si>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</si>
  <si>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</si>
  <si>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</si>
  <si>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</si>
  <si>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</si>
  <si>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</si>
  <si>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</si>
  <si>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</si>
  <si>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</si>
  <si>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</si>
  <si>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</si>
  <si>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</si>
  <si>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</si>
  <si>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</si>
  <si>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</si>
  <si>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</si>
  <si>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</si>
  <si>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</si>
  <si>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</si>
  <si>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</si>
  <si>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</si>
  <si>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</si>
  <si>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</si>
  <si>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</si>
  <si>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</si>
  <si>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</si>
  <si>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</si>
  <si>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</si>
  <si>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</si>
  <si>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</si>
  <si>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</si>
  <si>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</si>
  <si>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</si>
  <si>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</si>
  <si>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</si>
  <si>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</si>
  <si>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</si>
  <si>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</si>
  <si>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</si>
  <si>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</si>
  <si>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</si>
  <si>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</si>
  <si>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</si>
  <si>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</si>
  <si>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</si>
  <si>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</si>
  <si>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</si>
  <si>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</si>
  <si>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</si>
  <si>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</si>
  <si>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</si>
  <si>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</si>
  <si>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</si>
  <si>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</si>
  <si>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</si>
  <si>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</si>
  <si>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</si>
  <si>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</si>
  <si>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</si>
  <si>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</si>
  <si>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</si>
  <si>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</si>
  <si>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</si>
  <si>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</si>
  <si>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</si>
  <si>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</si>
  <si>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</si>
  <si>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</si>
  <si>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</si>
  <si>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</si>
  <si>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</si>
  <si>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</si>
  <si>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</si>
  <si>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</si>
  <si>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</si>
  <si>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</si>
  <si>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</si>
  <si>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</si>
  <si>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</si>
  <si>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</si>
  <si>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</si>
  <si>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</si>
  <si>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</si>
  <si>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</si>
  <si>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</si>
  <si>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</si>
  <si>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</si>
  <si>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</si>
  <si>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</si>
  <si>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</si>
  <si>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</si>
  <si>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</si>
  <si>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</si>
  <si>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</si>
  <si>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</si>
  <si>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</si>
  <si>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</si>
  <si>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</si>
  <si>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</si>
  <si>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</si>
  <si>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</si>
  <si>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</si>
  <si>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</si>
  <si>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</si>
  <si>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</si>
  <si>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</si>
  <si>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</si>
  <si>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</si>
  <si>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</si>
  <si>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</si>
  <si>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</si>
  <si>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</si>
  <si>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</si>
  <si>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</si>
  <si>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</si>
  <si>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</si>
  <si>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</si>
  <si>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</si>
  <si>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</si>
  <si>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</si>
  <si>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</si>
  <si>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</si>
  <si>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</si>
  <si>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</si>
  <si>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</si>
  <si>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</si>
  <si>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</si>
  <si>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</si>
  <si>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</si>
  <si>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</si>
  <si>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</si>
  <si>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</si>
  <si>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</si>
  <si>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</si>
  <si>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</si>
  <si>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</si>
  <si>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</si>
  <si>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</si>
  <si>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</si>
  <si>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</si>
  <si>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</si>
  <si>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</si>
  <si>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</si>
  <si>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</si>
  <si>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</si>
  <si>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</si>
  <si>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</si>
  <si>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</si>
  <si>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WAT</t>
  </si>
  <si>
    <t>Waters Corporation</t>
  </si>
  <si>
    <t>TMO</t>
  </si>
  <si>
    <t>Thermo Fisher Scientific</t>
  </si>
  <si>
    <t>6EZ6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</si>
</sst>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zoomScale="110" zoomScaleNormal="110" workbookViewId="0">
      <pane ySplit="1" topLeftCell="A15" activePane="bottomLeft" state="frozen"/>
      <selection activeCell="D1" sqref="D1"/>
      <selection pane="bottomLeft" activeCell="F40" sqref="F40"/>
    </sheetView>
  </sheetViews>
  <sheetFormatPr baseColWidth="10" defaultColWidth="9.1640625" defaultRowHeight="21" x14ac:dyDescent="0.25"/>
  <cols>
    <col min="1" max="1" width="10.5" style="33" bestFit="1" customWidth="1"/>
    <col min="2" max="3" width="14" style="51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0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34">
        <v>46301</v>
      </c>
      <c r="D43" s="35">
        <f t="shared" si="5"/>
        <v>15</v>
      </c>
      <c r="E43" s="33" t="s">
        <v>599</v>
      </c>
      <c r="F43" s="36" t="s">
        <v>600</v>
      </c>
      <c r="G43" s="33" t="s">
        <v>23</v>
      </c>
      <c r="H43" s="36" t="s">
        <v>24</v>
      </c>
      <c r="I43" s="33" t="s">
        <v>25</v>
      </c>
      <c r="J43" s="33" t="s">
        <v>25</v>
      </c>
      <c r="K43" s="33" t="s">
        <v>599</v>
      </c>
      <c r="L43" s="33">
        <v>-700</v>
      </c>
      <c r="M43" s="33">
        <v>162.33920000000001</v>
      </c>
      <c r="N43" s="33">
        <v>166.36</v>
      </c>
      <c r="O43" s="33">
        <v>166.36</v>
      </c>
      <c r="P43" s="39">
        <f>ABS(O43*L43)</f>
        <v>116452.00000000001</v>
      </c>
      <c r="Q43" s="33">
        <v>11.47</v>
      </c>
      <c r="R43" s="33">
        <v>0</v>
      </c>
      <c r="S43" s="40">
        <f t="shared" si="7"/>
        <v>0</v>
      </c>
      <c r="T43" s="39">
        <v>-2814</v>
      </c>
      <c r="U43" s="45">
        <v>-2814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46302</v>
      </c>
      <c r="D47" s="56">
        <f t="shared" si="5"/>
        <v>14</v>
      </c>
      <c r="E47" s="47" t="s">
        <v>606</v>
      </c>
      <c r="F47" s="48" t="s">
        <v>607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606</v>
      </c>
      <c r="L47" s="47">
        <v>-600</v>
      </c>
      <c r="M47" s="47">
        <v>268.09100000000001</v>
      </c>
      <c r="N47" s="47" t="s">
        <v>72</v>
      </c>
      <c r="O47" s="47">
        <v>267.39999999999998</v>
      </c>
      <c r="P47" s="49">
        <f>ABS(O47*L47)</f>
        <v>160440</v>
      </c>
      <c r="Q47" s="47">
        <v>10.1</v>
      </c>
      <c r="R47" s="47" t="s">
        <v>72</v>
      </c>
      <c r="S47" s="50" t="s">
        <v>72</v>
      </c>
      <c r="T47" s="49" t="s">
        <v>72</v>
      </c>
      <c r="U47" s="49" t="s">
        <v>72</v>
      </c>
      <c r="V47" s="33">
        <f>(M47-O47)*600</f>
        <v>414.60000000001855</v>
      </c>
    </row>
    <row r="48" spans="1:22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532</v>
      </c>
      <c r="K48" s="33" t="s">
        <v>608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609</v>
      </c>
      <c r="F49" s="36" t="s">
        <v>610</v>
      </c>
      <c r="G49" s="33" t="s">
        <v>23</v>
      </c>
      <c r="H49" s="36" t="s">
        <v>24</v>
      </c>
      <c r="I49" s="33" t="s">
        <v>32</v>
      </c>
      <c r="J49" s="33" t="s">
        <v>125</v>
      </c>
      <c r="K49" s="33" t="s">
        <v>611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2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613</v>
      </c>
      <c r="F50" s="36" t="s">
        <v>614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613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615</v>
      </c>
      <c r="F51" s="36" t="s">
        <v>616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615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58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34">
        <v>46297</v>
      </c>
      <c r="D52" s="35">
        <f t="shared" si="5"/>
        <v>4</v>
      </c>
      <c r="E52" s="33" t="s">
        <v>617</v>
      </c>
      <c r="F52" s="36" t="s">
        <v>618</v>
      </c>
      <c r="G52" s="33" t="s">
        <v>23</v>
      </c>
      <c r="H52" s="36" t="s">
        <v>24</v>
      </c>
      <c r="I52" s="33" t="s">
        <v>25</v>
      </c>
      <c r="J52" s="33" t="s">
        <v>25</v>
      </c>
      <c r="K52" s="33" t="s">
        <v>617</v>
      </c>
      <c r="L52" s="33">
        <v>-110</v>
      </c>
      <c r="M52" s="33">
        <v>447.99</v>
      </c>
      <c r="N52" s="33">
        <v>466.29</v>
      </c>
      <c r="O52" s="33">
        <v>466.29</v>
      </c>
      <c r="P52" s="39">
        <f t="shared" si="10"/>
        <v>49278.9</v>
      </c>
      <c r="Q52" s="33">
        <v>2.68</v>
      </c>
      <c r="R52" s="33">
        <v>0</v>
      </c>
      <c r="S52" s="40">
        <f t="shared" si="9"/>
        <v>0</v>
      </c>
      <c r="T52" s="39">
        <v>-2013</v>
      </c>
      <c r="U52" s="45">
        <v>-2013</v>
      </c>
    </row>
    <row r="53" spans="1:22" x14ac:dyDescent="0.25">
      <c r="A53" s="33">
        <v>48</v>
      </c>
      <c r="B53" s="34">
        <v>46293</v>
      </c>
      <c r="C53" s="34">
        <v>46295</v>
      </c>
      <c r="D53" s="35">
        <f t="shared" si="5"/>
        <v>2</v>
      </c>
      <c r="E53" s="33" t="s">
        <v>619</v>
      </c>
      <c r="F53" s="36" t="s">
        <v>620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619</v>
      </c>
      <c r="L53" s="33">
        <v>4000</v>
      </c>
      <c r="M53" s="33">
        <v>20.27</v>
      </c>
      <c r="N53" s="33">
        <v>20.21</v>
      </c>
      <c r="O53" s="33">
        <v>20.21</v>
      </c>
      <c r="P53" s="39">
        <f t="shared" si="10"/>
        <v>81080</v>
      </c>
      <c r="Q53" s="33">
        <v>5.4</v>
      </c>
      <c r="R53" s="33">
        <v>0</v>
      </c>
      <c r="S53" s="40">
        <f t="shared" ref="S53:S55" si="11">IF(R53=1, ABS(N53-M53)/M53, 0)</f>
        <v>0</v>
      </c>
      <c r="T53" s="39">
        <v>-214</v>
      </c>
      <c r="U53" s="45">
        <v>-214</v>
      </c>
    </row>
    <row r="54" spans="1:22" x14ac:dyDescent="0.25">
      <c r="A54" s="33">
        <v>49</v>
      </c>
      <c r="B54" s="34">
        <v>46294</v>
      </c>
      <c r="C54" s="34">
        <v>46301</v>
      </c>
      <c r="D54" s="35">
        <f t="shared" si="5"/>
        <v>7</v>
      </c>
      <c r="E54" s="33" t="s">
        <v>621</v>
      </c>
      <c r="F54" s="36" t="s">
        <v>622</v>
      </c>
      <c r="G54" s="33" t="s">
        <v>30</v>
      </c>
      <c r="H54" s="36" t="s">
        <v>623</v>
      </c>
      <c r="I54" s="33" t="s">
        <v>48</v>
      </c>
      <c r="J54" s="33" t="s">
        <v>48</v>
      </c>
      <c r="K54" s="33" t="s">
        <v>621</v>
      </c>
      <c r="L54" s="33">
        <v>400</v>
      </c>
      <c r="M54" s="33">
        <v>281.4135</v>
      </c>
      <c r="N54" s="33">
        <v>282.18</v>
      </c>
      <c r="O54" s="33">
        <v>282.18</v>
      </c>
      <c r="P54" s="39">
        <f t="shared" si="10"/>
        <v>112565.4</v>
      </c>
      <c r="Q54" s="33">
        <v>7.57</v>
      </c>
      <c r="R54" s="33">
        <v>1</v>
      </c>
      <c r="S54" s="40">
        <f t="shared" si="11"/>
        <v>2.7237499267093006E-3</v>
      </c>
      <c r="T54" s="39">
        <v>307</v>
      </c>
      <c r="U54" s="41">
        <v>307</v>
      </c>
    </row>
    <row r="55" spans="1:22" x14ac:dyDescent="0.25">
      <c r="A55" s="33">
        <v>49</v>
      </c>
      <c r="B55" s="34">
        <v>46294</v>
      </c>
      <c r="C55" s="34">
        <v>46301</v>
      </c>
      <c r="D55" s="35">
        <f t="shared" si="5"/>
        <v>7</v>
      </c>
      <c r="E55" s="33" t="s">
        <v>624</v>
      </c>
      <c r="F55" s="36" t="s">
        <v>625</v>
      </c>
      <c r="G55" s="33" t="s">
        <v>30</v>
      </c>
      <c r="H55" s="36" t="s">
        <v>623</v>
      </c>
      <c r="I55" s="33" t="s">
        <v>48</v>
      </c>
      <c r="J55" s="33" t="s">
        <v>48</v>
      </c>
      <c r="K55" s="33" t="s">
        <v>624</v>
      </c>
      <c r="L55" s="33">
        <v>-140</v>
      </c>
      <c r="M55" s="33">
        <v>767.82</v>
      </c>
      <c r="N55" s="33">
        <v>779.63</v>
      </c>
      <c r="O55" s="33">
        <v>779.63</v>
      </c>
      <c r="P55" s="39">
        <f t="shared" si="10"/>
        <v>107494.8</v>
      </c>
      <c r="Q55" s="33">
        <v>4.0199999999999996</v>
      </c>
      <c r="R55" s="33">
        <v>0</v>
      </c>
      <c r="S55" s="40">
        <f t="shared" si="11"/>
        <v>0</v>
      </c>
      <c r="T55" s="39">
        <v>-1653</v>
      </c>
      <c r="U55" s="45">
        <v>-1653</v>
      </c>
    </row>
    <row r="56" spans="1:22" x14ac:dyDescent="0.25">
      <c r="A56" s="33">
        <v>50</v>
      </c>
      <c r="B56" s="34">
        <v>46295</v>
      </c>
      <c r="C56" s="34">
        <v>46296</v>
      </c>
      <c r="D56" s="35">
        <f t="shared" si="5"/>
        <v>1</v>
      </c>
      <c r="E56" s="33" t="s">
        <v>626</v>
      </c>
      <c r="F56" s="36" t="s">
        <v>627</v>
      </c>
      <c r="G56" s="33" t="s">
        <v>23</v>
      </c>
      <c r="H56" s="36" t="s">
        <v>24</v>
      </c>
      <c r="I56" s="33" t="s">
        <v>25</v>
      </c>
      <c r="J56" s="33" t="s">
        <v>25</v>
      </c>
      <c r="K56" s="33" t="s">
        <v>626</v>
      </c>
      <c r="L56" s="33">
        <v>-100</v>
      </c>
      <c r="M56" s="33">
        <v>447</v>
      </c>
      <c r="N56" s="33">
        <v>434.77</v>
      </c>
      <c r="O56" s="33">
        <v>434.77</v>
      </c>
      <c r="P56" s="39">
        <f t="shared" si="10"/>
        <v>44700</v>
      </c>
      <c r="Q56" s="33">
        <v>1.9</v>
      </c>
      <c r="R56" s="33">
        <v>1</v>
      </c>
      <c r="S56" s="40">
        <f t="shared" ref="S56:S60" si="12">IF(R56=1, ABS(N56-M56)/M56, 0)</f>
        <v>2.7360178970917266E-2</v>
      </c>
      <c r="T56" s="39">
        <v>1222</v>
      </c>
      <c r="U56" s="41">
        <v>1222</v>
      </c>
    </row>
    <row r="57" spans="1:22" x14ac:dyDescent="0.25">
      <c r="A57" s="33">
        <v>51</v>
      </c>
      <c r="B57" s="34">
        <v>46295</v>
      </c>
      <c r="C57" s="34">
        <v>46296</v>
      </c>
      <c r="D57" s="35">
        <f t="shared" si="5"/>
        <v>1</v>
      </c>
      <c r="E57" s="33" t="s">
        <v>628</v>
      </c>
      <c r="F57" s="36" t="s">
        <v>629</v>
      </c>
      <c r="G57" s="33" t="s">
        <v>23</v>
      </c>
      <c r="H57" s="36" t="s">
        <v>24</v>
      </c>
      <c r="I57" s="33" t="s">
        <v>25</v>
      </c>
      <c r="J57" s="33" t="s">
        <v>25</v>
      </c>
      <c r="K57" s="33" t="s">
        <v>628</v>
      </c>
      <c r="L57" s="33">
        <v>-100</v>
      </c>
      <c r="M57" s="33">
        <v>674.15</v>
      </c>
      <c r="N57" s="33">
        <v>666.83</v>
      </c>
      <c r="O57" s="33">
        <v>666.83</v>
      </c>
      <c r="P57" s="39">
        <f t="shared" si="10"/>
        <v>67415</v>
      </c>
      <c r="Q57" s="33">
        <v>3.25</v>
      </c>
      <c r="R57" s="33">
        <v>1</v>
      </c>
      <c r="S57" s="40">
        <f t="shared" si="12"/>
        <v>1.0858117629607559E-2</v>
      </c>
      <c r="T57" s="39">
        <v>880</v>
      </c>
      <c r="U57" s="41">
        <v>880</v>
      </c>
    </row>
    <row r="58" spans="1:22" x14ac:dyDescent="0.25">
      <c r="A58" s="33">
        <v>52</v>
      </c>
      <c r="B58" s="34">
        <v>46296</v>
      </c>
      <c r="C58" s="34">
        <v>46296</v>
      </c>
      <c r="D58" s="35">
        <f t="shared" si="5"/>
        <v>0</v>
      </c>
      <c r="E58" s="33" t="s">
        <v>26</v>
      </c>
      <c r="F58" s="36" t="s">
        <v>27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26</v>
      </c>
      <c r="L58" s="33">
        <v>200</v>
      </c>
      <c r="M58" s="33">
        <v>326.27999999999997</v>
      </c>
      <c r="N58" s="33">
        <v>332.03</v>
      </c>
      <c r="O58" s="33">
        <v>332.03</v>
      </c>
      <c r="P58" s="39">
        <f t="shared" si="10"/>
        <v>65255.999999999993</v>
      </c>
      <c r="Q58" s="33">
        <v>2.59</v>
      </c>
      <c r="R58" s="33">
        <v>1</v>
      </c>
      <c r="S58" s="40">
        <f t="shared" si="12"/>
        <v>1.762290057619223E-2</v>
      </c>
      <c r="T58" s="39">
        <v>1058</v>
      </c>
      <c r="U58" s="41">
        <v>1058</v>
      </c>
    </row>
    <row r="59" spans="1:22" x14ac:dyDescent="0.25">
      <c r="A59" s="33">
        <v>53</v>
      </c>
      <c r="B59" s="34">
        <v>46297</v>
      </c>
      <c r="C59" s="55">
        <v>46301</v>
      </c>
      <c r="D59" s="56">
        <f t="shared" si="5"/>
        <v>4</v>
      </c>
      <c r="E59" s="47" t="s">
        <v>58</v>
      </c>
      <c r="F59" s="48" t="s">
        <v>59</v>
      </c>
      <c r="G59" s="47" t="s">
        <v>23</v>
      </c>
      <c r="H59" s="48" t="s">
        <v>24</v>
      </c>
      <c r="I59" s="47" t="s">
        <v>32</v>
      </c>
      <c r="J59" s="47" t="s">
        <v>532</v>
      </c>
      <c r="K59" s="47" t="s">
        <v>608</v>
      </c>
      <c r="L59" s="47">
        <v>10</v>
      </c>
      <c r="M59" s="47">
        <v>17.91</v>
      </c>
      <c r="N59" s="47" t="s">
        <v>72</v>
      </c>
      <c r="O59" s="47">
        <v>17.68</v>
      </c>
      <c r="P59" s="49">
        <f>ABS(M59*L59)*100</f>
        <v>17910</v>
      </c>
      <c r="Q59" s="47">
        <v>1.88</v>
      </c>
      <c r="R59" s="47" t="s">
        <v>72</v>
      </c>
      <c r="S59" s="50" t="s">
        <v>72</v>
      </c>
      <c r="T59" s="49" t="s">
        <v>72</v>
      </c>
      <c r="U59" s="49" t="s">
        <v>72</v>
      </c>
      <c r="V59" s="33">
        <v>-490</v>
      </c>
    </row>
    <row r="60" spans="1:22" x14ac:dyDescent="0.25">
      <c r="A60" s="33">
        <v>54</v>
      </c>
      <c r="B60" s="34">
        <v>46299</v>
      </c>
      <c r="C60" s="34">
        <v>46300</v>
      </c>
      <c r="D60" s="35">
        <f t="shared" si="5"/>
        <v>1</v>
      </c>
      <c r="E60" s="33" t="s">
        <v>34</v>
      </c>
      <c r="F60" s="36" t="s">
        <v>35</v>
      </c>
      <c r="G60" s="33" t="s">
        <v>23</v>
      </c>
      <c r="H60" s="36" t="s">
        <v>24</v>
      </c>
      <c r="I60" s="33" t="s">
        <v>32</v>
      </c>
      <c r="J60" s="33" t="s">
        <v>530</v>
      </c>
      <c r="K60" s="33" t="s">
        <v>630</v>
      </c>
      <c r="L60" s="33">
        <v>10</v>
      </c>
      <c r="M60" s="33">
        <v>1.1225000000000001</v>
      </c>
      <c r="N60" s="33">
        <v>1.1251</v>
      </c>
      <c r="O60" s="33">
        <v>1.1251</v>
      </c>
      <c r="P60" s="39">
        <v>1406000</v>
      </c>
      <c r="Q60" s="33">
        <v>42.5</v>
      </c>
      <c r="R60" s="33">
        <v>1</v>
      </c>
      <c r="S60" s="40">
        <f t="shared" si="12"/>
        <v>2.3162583518930384E-3</v>
      </c>
      <c r="T60" s="39">
        <v>925</v>
      </c>
      <c r="U60" s="41">
        <v>925</v>
      </c>
    </row>
    <row r="61" spans="1:22" x14ac:dyDescent="0.25">
      <c r="B61" s="34"/>
      <c r="C61" s="34"/>
      <c r="D61" s="35"/>
      <c r="F61" s="36"/>
      <c r="H61" s="36"/>
      <c r="P61" s="39"/>
      <c r="S61" s="40"/>
      <c r="T61" s="39"/>
      <c r="U61" s="41"/>
    </row>
    <row r="62" spans="1:22" x14ac:dyDescent="0.25">
      <c r="B62" s="34"/>
      <c r="C62" s="34"/>
      <c r="D62" s="35"/>
      <c r="F62" s="36"/>
      <c r="H62" s="36"/>
      <c r="P62" s="39"/>
      <c r="S62" s="40"/>
      <c r="T62" s="39"/>
      <c r="U62" s="41"/>
    </row>
    <row r="63" spans="1:22" x14ac:dyDescent="0.25">
      <c r="B63" s="34"/>
      <c r="C63" s="34"/>
      <c r="D63" s="35"/>
      <c r="F63" s="36"/>
      <c r="H63" s="36"/>
      <c r="P63" s="39"/>
      <c r="S63" s="40"/>
      <c r="T63" s="39"/>
      <c r="U63" s="41"/>
    </row>
    <row r="64" spans="1:22" x14ac:dyDescent="0.25">
      <c r="B64" s="34"/>
      <c r="C64" s="34"/>
      <c r="D64" s="35"/>
      <c r="F64" s="36"/>
      <c r="H64" s="36"/>
      <c r="P64" s="39"/>
      <c r="S64" s="40"/>
      <c r="T64" s="39"/>
      <c r="U64" s="41"/>
    </row>
    <row r="65" spans="4:22" x14ac:dyDescent="0.25">
      <c r="F65" s="36"/>
      <c r="H65" s="36"/>
    </row>
    <row r="66" spans="4:22" x14ac:dyDescent="0.25">
      <c r="D66" s="52" t="s">
        <v>103</v>
      </c>
      <c r="E66" s="46">
        <f>AVERAGE(D2:D58)</f>
        <v>6.5438596491228074</v>
      </c>
      <c r="F66" s="36"/>
      <c r="H66" s="36"/>
      <c r="U66" s="39">
        <f>SUM(U2:U64)</f>
        <v>80134.47</v>
      </c>
      <c r="V66" s="39">
        <f>SUM(V2:V64)</f>
        <v>-75.399999999981446</v>
      </c>
    </row>
    <row r="67" spans="4:22" x14ac:dyDescent="0.25">
      <c r="D67" s="52" t="s">
        <v>104</v>
      </c>
      <c r="E67" s="46">
        <f>AVERAGE(D2:D11,D13,D15:D58)</f>
        <v>4.6727272727272728</v>
      </c>
      <c r="F67" s="36"/>
      <c r="U67" s="53" t="s">
        <v>105</v>
      </c>
      <c r="V67" s="36" t="s">
        <v>106</v>
      </c>
    </row>
    <row r="68" spans="4:22" x14ac:dyDescent="0.25">
      <c r="F68" s="36"/>
      <c r="U68" s="33" t="s">
        <v>107</v>
      </c>
    </row>
    <row r="69" spans="4:22" x14ac:dyDescent="0.25">
      <c r="F69" s="36"/>
      <c r="U69" s="39">
        <f>U66+V66</f>
        <v>80059.070000000022</v>
      </c>
    </row>
    <row r="70" spans="4:22" x14ac:dyDescent="0.25">
      <c r="F70" s="36"/>
    </row>
    <row r="71" spans="4:22" x14ac:dyDescent="0.25">
      <c r="F71" s="36"/>
      <c r="U71" s="36" t="s">
        <v>108</v>
      </c>
    </row>
    <row r="72" spans="4:22" x14ac:dyDescent="0.25">
      <c r="F72" s="36"/>
      <c r="U72" s="39">
        <v>333000</v>
      </c>
    </row>
    <row r="74" spans="4:22" x14ac:dyDescent="0.25">
      <c r="U74" s="33" t="s">
        <v>109</v>
      </c>
    </row>
    <row r="75" spans="4:22" x14ac:dyDescent="0.25">
      <c r="U75" s="54">
        <f>U69/U72</f>
        <v>0.24041762762762769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5"/>
  <sheetViews>
    <sheetView topLeftCell="A51" zoomScale="200" zoomScaleNormal="200" workbookViewId="0">
      <selection activeCell="B87" sqref="B87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5" si="0">B4-B3</f>
        <v>6713.6600000000326</v>
      </c>
      <c r="D4" s="23">
        <f t="shared" ref="D4:D85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114</v>
      </c>
      <c r="G74" s="27">
        <f>AVERAGE(C3:C85)</f>
        <v>952.82036144578274</v>
      </c>
      <c r="I74" s="27">
        <v>962.08646341463373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115</v>
      </c>
      <c r="G75" s="27">
        <f>_xlfn.STDEV.S(C3:C85)</f>
        <v>4083.5179476547146</v>
      </c>
      <c r="I75" s="27">
        <v>4107.7694773583607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116</v>
      </c>
      <c r="G76" s="28">
        <f>(G74/G75)*SQRT(252)</f>
        <v>3.7040499189460783</v>
      </c>
      <c r="I76" s="28">
        <v>3.717990801529147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117</v>
      </c>
      <c r="G77" s="29">
        <f>_xlfn.STDEV.S(D2:D85)*SQRT(252)</f>
        <v>0.17598176438533644</v>
      </c>
      <c r="I77" s="29">
        <v>0.17701175695806795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118</v>
      </c>
      <c r="G78" s="29" cm="1">
        <f t="array" ref="G78">PRODUCT(1+D3:D85)-1</f>
        <v>0.23716524824050333</v>
      </c>
      <c r="I78" s="29">
        <v>0.23658646098857528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119</v>
      </c>
      <c r="G79" s="29" cm="1">
        <f t="array" ref="G79">PRODUCT(1+D2:D85)^(252/COUNT(D2:D85))-1</f>
        <v>0.89357772754548725</v>
      </c>
      <c r="I79" s="29">
        <v>0.90549089045983155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</f>
        <v>412540</v>
      </c>
      <c r="C85" s="5">
        <f t="shared" si="0"/>
        <v>193</v>
      </c>
      <c r="D85" s="23">
        <f t="shared" si="1"/>
        <v>4.6805239276628667E-4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62" activePane="bottomLeft" state="frozen"/>
      <selection pane="bottomLeft" activeCell="A93" sqref="A93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125</v>
      </c>
      <c r="L1" s="8" t="s">
        <v>48</v>
      </c>
      <c r="M1" s="9" t="s">
        <v>526</v>
      </c>
      <c r="N1" s="8" t="s">
        <v>527</v>
      </c>
      <c r="O1" s="8" t="s">
        <v>528</v>
      </c>
      <c r="P1" s="8" t="s">
        <v>536</v>
      </c>
      <c r="Q1" s="8" t="s">
        <v>537</v>
      </c>
      <c r="R1" s="8" t="s">
        <v>538</v>
      </c>
      <c r="S1" s="8" t="s">
        <v>539</v>
      </c>
      <c r="T1" s="8" t="s">
        <v>540</v>
      </c>
      <c r="U1" s="8" t="s">
        <v>590</v>
      </c>
      <c r="V1" s="8" t="s">
        <v>612</v>
      </c>
      <c r="W1" s="8" t="s">
        <v>529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2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>E91/M91</f>
        <v>0.74553540418252784</v>
      </c>
      <c r="R91" s="15">
        <v>0</v>
      </c>
      <c r="S91" s="15">
        <f t="shared" ref="S91" si="56">H91/M91</f>
        <v>9.3642640383097032E-3</v>
      </c>
      <c r="T91" s="15">
        <f t="shared" ref="T91" si="57">I91/M91</f>
        <v>0</v>
      </c>
      <c r="U91" s="15">
        <v>0</v>
      </c>
      <c r="V91" s="16">
        <f t="shared" ref="V91" si="58">K91/M91</f>
        <v>0</v>
      </c>
      <c r="W91" s="15">
        <f t="shared" ref="W91" si="59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0">C92/M92</f>
        <v>0.3929790871637609</v>
      </c>
      <c r="O92" s="15">
        <f t="shared" ref="O92" si="61">D92/M92</f>
        <v>0.56376480039973942</v>
      </c>
      <c r="P92" s="15">
        <v>0</v>
      </c>
      <c r="Q92" s="15">
        <f>E92/M92</f>
        <v>0</v>
      </c>
      <c r="R92" s="15">
        <v>0</v>
      </c>
      <c r="S92" s="15">
        <f t="shared" ref="S92" si="62">H92/M92</f>
        <v>4.3256112436499732E-2</v>
      </c>
      <c r="T92" s="15">
        <f t="shared" ref="T92" si="63">I92/M92</f>
        <v>0</v>
      </c>
      <c r="U92" s="15">
        <v>0</v>
      </c>
      <c r="V92" s="16">
        <f t="shared" ref="V92" si="64">K92/M92</f>
        <v>0</v>
      </c>
      <c r="W92" s="15">
        <f t="shared" ref="W92" si="65">L92/M92</f>
        <v>0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2026-10-07T16:43:28Z</dcterms:modified>
  <cp:category/>
  <cp:contentStatus/>
</cp:coreProperties>
</file>