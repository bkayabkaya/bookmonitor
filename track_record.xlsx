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B00E1C5D-4368-6E41-89F5-6F78A5FEB266}" xr6:coauthVersionLast="47" xr6:coauthVersionMax="47" xr10:uidLastSave="{00000000-0000-0000-0000-000000000000}"/>
  <bookViews>
    <workbookView xWindow="0" yWindow="500" windowWidth="40960" windowHeight="239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101" i="7" l="1"/>
  <c r="V101" i="7"/>
  <c r="T101" i="7"/>
  <c r="Q101" i="7"/>
  <c r="O101" i="7"/>
  <c r="N101" i="7"/>
  <c r="P101" i="7" s="1"/>
  <c r="M101" i="7"/>
  <c r="D101" i="7"/>
  <c r="G79" i="3" a="1"/>
  <c r="G79" i="3" s="1"/>
  <c r="G78" i="3" a="1"/>
  <c r="G78" i="3" s="1"/>
  <c r="G77" i="3"/>
  <c r="G75" i="3"/>
  <c r="G74" i="3"/>
  <c r="D94" i="3"/>
  <c r="C94" i="3"/>
  <c r="B94" i="3"/>
  <c r="Z68" i="1"/>
  <c r="Y37" i="1"/>
  <c r="Y38" i="1" s="1"/>
  <c r="Y39" i="1" s="1"/>
  <c r="Y40" i="1" s="1"/>
  <c r="Y41" i="1" s="1"/>
  <c r="Y42" i="1" s="1"/>
  <c r="Y43" i="1" s="1"/>
  <c r="Y44" i="1" s="1"/>
  <c r="Y45" i="1" s="1"/>
  <c r="Y46" i="1" s="1"/>
  <c r="Y47" i="1" s="1"/>
  <c r="Y48" i="1" s="1"/>
  <c r="Y49" i="1" s="1"/>
  <c r="Y50" i="1" s="1"/>
  <c r="Y51" i="1" s="1"/>
  <c r="Y52" i="1" s="1"/>
  <c r="Y53" i="1" s="1"/>
  <c r="Y54" i="1" s="1"/>
  <c r="Y55" i="1" s="1"/>
  <c r="Y56" i="1" s="1"/>
  <c r="Y57" i="1" s="1"/>
  <c r="Y58" i="1" s="1"/>
  <c r="Y59" i="1" s="1"/>
  <c r="Y60" i="1" s="1"/>
  <c r="Y61" i="1" s="1"/>
  <c r="Y62" i="1" s="1"/>
  <c r="Y63" i="1" s="1"/>
  <c r="Y64" i="1" s="1"/>
  <c r="Y65" i="1" s="1"/>
  <c r="Y66" i="1" s="1"/>
  <c r="Y67" i="1" s="1"/>
  <c r="Y68" i="1" s="1"/>
  <c r="Y14" i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Y25" i="1" s="1"/>
  <c r="Y26" i="1" s="1"/>
  <c r="Y27" i="1" s="1"/>
  <c r="Y28" i="1" s="1"/>
  <c r="Y29" i="1" s="1"/>
  <c r="Y30" i="1" s="1"/>
  <c r="Y31" i="1" s="1"/>
  <c r="Y32" i="1" s="1"/>
  <c r="Y33" i="1" s="1"/>
  <c r="Y34" i="1" s="1"/>
  <c r="Y35" i="1" s="1"/>
  <c r="Y36" i="1" s="1"/>
  <c r="Y13" i="1"/>
  <c r="Y12" i="1"/>
  <c r="Y11" i="1"/>
  <c r="Y10" i="1"/>
  <c r="Y9" i="1"/>
  <c r="Y8" i="1"/>
  <c r="Y7" i="1"/>
  <c r="Y6" i="1"/>
  <c r="Y5" i="1"/>
  <c r="Y4" i="1"/>
  <c r="Y3" i="1"/>
  <c r="Y2" i="1"/>
  <c r="D68" i="1"/>
  <c r="T66" i="1"/>
  <c r="T67" i="1"/>
  <c r="W100" i="7" l="1"/>
  <c r="V100" i="7"/>
  <c r="T100" i="7"/>
  <c r="Q100" i="7"/>
  <c r="P100" i="7"/>
  <c r="O100" i="7"/>
  <c r="N100" i="7"/>
  <c r="M100" i="7"/>
  <c r="D100" i="7"/>
  <c r="D93" i="3"/>
  <c r="C93" i="3"/>
  <c r="B93" i="3"/>
  <c r="X71" i="1"/>
  <c r="D99" i="7"/>
  <c r="M99" i="7" s="1"/>
  <c r="O99" i="7" s="1"/>
  <c r="D67" i="1"/>
  <c r="D66" i="1"/>
  <c r="D65" i="1"/>
  <c r="D64" i="1"/>
  <c r="T63" i="1"/>
  <c r="T62" i="1"/>
  <c r="U59" i="1"/>
  <c r="T59" i="1"/>
  <c r="D92" i="3"/>
  <c r="C92" i="3"/>
  <c r="B92" i="3"/>
  <c r="D98" i="7"/>
  <c r="W97" i="7"/>
  <c r="V97" i="7"/>
  <c r="T97" i="7"/>
  <c r="S97" i="7"/>
  <c r="Q97" i="7"/>
  <c r="P97" i="7"/>
  <c r="O97" i="7"/>
  <c r="N97" i="7"/>
  <c r="M97" i="7"/>
  <c r="D97" i="7"/>
  <c r="Q62" i="1"/>
  <c r="D91" i="3"/>
  <c r="C91" i="3"/>
  <c r="B91" i="3"/>
  <c r="D90" i="3"/>
  <c r="C90" i="3"/>
  <c r="B90" i="3"/>
  <c r="W96" i="7"/>
  <c r="V96" i="7"/>
  <c r="T96" i="7"/>
  <c r="S96" i="7"/>
  <c r="Q96" i="7"/>
  <c r="P96" i="7"/>
  <c r="O96" i="7"/>
  <c r="N96" i="7"/>
  <c r="M96" i="7"/>
  <c r="D96" i="7"/>
  <c r="D95" i="7"/>
  <c r="D89" i="3"/>
  <c r="C89" i="3"/>
  <c r="B89" i="3"/>
  <c r="D88" i="3"/>
  <c r="C88" i="3"/>
  <c r="B88" i="3"/>
  <c r="T47" i="1"/>
  <c r="B87" i="3"/>
  <c r="D94" i="7"/>
  <c r="C87" i="3"/>
  <c r="D63" i="1"/>
  <c r="D62" i="1"/>
  <c r="W93" i="7"/>
  <c r="V93" i="7"/>
  <c r="T93" i="7"/>
  <c r="S93" i="7"/>
  <c r="Q93" i="7"/>
  <c r="O93" i="7"/>
  <c r="N93" i="7"/>
  <c r="M93" i="7"/>
  <c r="V71" i="1"/>
  <c r="T61" i="1"/>
  <c r="Q61" i="1"/>
  <c r="Q60" i="1"/>
  <c r="D61" i="1"/>
  <c r="D86" i="3"/>
  <c r="C86" i="3"/>
  <c r="B86" i="3"/>
  <c r="B85" i="3"/>
  <c r="W71" i="1"/>
  <c r="D92" i="7"/>
  <c r="C85" i="3"/>
  <c r="D85" i="3" s="1"/>
  <c r="T55" i="1"/>
  <c r="T54" i="1"/>
  <c r="T43" i="1"/>
  <c r="B84" i="3"/>
  <c r="T60" i="1"/>
  <c r="M91" i="7"/>
  <c r="Q91" i="7" s="1"/>
  <c r="Q47" i="1"/>
  <c r="Q43" i="1"/>
  <c r="C84" i="3"/>
  <c r="D60" i="1"/>
  <c r="W90" i="7"/>
  <c r="V90" i="7"/>
  <c r="T90" i="7"/>
  <c r="S90" i="7"/>
  <c r="O90" i="7"/>
  <c r="N90" i="7"/>
  <c r="M90" i="7"/>
  <c r="D90" i="7"/>
  <c r="D59" i="1"/>
  <c r="D83" i="3"/>
  <c r="C83" i="3"/>
  <c r="B83" i="3"/>
  <c r="T52" i="1"/>
  <c r="N99" i="7" l="1"/>
  <c r="P99" i="7" s="1"/>
  <c r="Q99" i="7"/>
  <c r="T99" i="7"/>
  <c r="V99" i="7"/>
  <c r="W99" i="7"/>
  <c r="M98" i="7"/>
  <c r="M94" i="7"/>
  <c r="G76" i="3"/>
  <c r="D87" i="3"/>
  <c r="M92" i="7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T58" i="1"/>
  <c r="Q58" i="1"/>
  <c r="D58" i="1"/>
  <c r="T57" i="1"/>
  <c r="T56" i="1"/>
  <c r="T51" i="1"/>
  <c r="T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T53" i="1"/>
  <c r="Q57" i="1"/>
  <c r="Q56" i="1"/>
  <c r="B80" i="3"/>
  <c r="C80" i="3" s="1"/>
  <c r="W87" i="7"/>
  <c r="V87" i="7"/>
  <c r="T87" i="7"/>
  <c r="S87" i="7"/>
  <c r="M87" i="7"/>
  <c r="O87" i="7" s="1"/>
  <c r="B79" i="3"/>
  <c r="Q55" i="1"/>
  <c r="Q54" i="1"/>
  <c r="Q53" i="1"/>
  <c r="Q52" i="1"/>
  <c r="Q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T50" i="1"/>
  <c r="D50" i="1"/>
  <c r="T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Q48" i="1"/>
  <c r="D48" i="1"/>
  <c r="T39" i="1"/>
  <c r="T44" i="1"/>
  <c r="T46" i="1"/>
  <c r="T40" i="1"/>
  <c r="Q39" i="1"/>
  <c r="Q40" i="1"/>
  <c r="Q44" i="1"/>
  <c r="Q46" i="1"/>
  <c r="T42" i="1"/>
  <c r="Q42" i="1"/>
  <c r="T41" i="1"/>
  <c r="D47" i="1"/>
  <c r="D46" i="1"/>
  <c r="B75" i="3"/>
  <c r="D82" i="7"/>
  <c r="C75" i="3"/>
  <c r="D75" i="3" s="1"/>
  <c r="T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T36" i="1"/>
  <c r="D40" i="1"/>
  <c r="W98" i="7" l="1"/>
  <c r="V98" i="7"/>
  <c r="Q98" i="7"/>
  <c r="P98" i="7"/>
  <c r="N98" i="7"/>
  <c r="T98" i="7"/>
  <c r="S98" i="7"/>
  <c r="O98" i="7"/>
  <c r="P94" i="7"/>
  <c r="W94" i="7"/>
  <c r="V94" i="7"/>
  <c r="T94" i="7"/>
  <c r="S94" i="7"/>
  <c r="Q94" i="7"/>
  <c r="N94" i="7"/>
  <c r="O94" i="7"/>
  <c r="V92" i="7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T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T35" i="1"/>
  <c r="M76" i="7" l="1"/>
  <c r="N78" i="7"/>
  <c r="W78" i="7"/>
  <c r="T78" i="7"/>
  <c r="W79" i="7"/>
  <c r="T79" i="7"/>
  <c r="N79" i="7"/>
  <c r="O79" i="7"/>
  <c r="C75" i="7"/>
  <c r="D75" i="7" s="1"/>
  <c r="T38" i="1"/>
  <c r="T37" i="1"/>
  <c r="T34" i="1"/>
  <c r="T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T30" i="1"/>
  <c r="T29" i="1"/>
  <c r="T19" i="1"/>
  <c r="T31" i="1"/>
  <c r="N75" i="7" l="1"/>
  <c r="T75" i="7"/>
  <c r="O75" i="7"/>
  <c r="C67" i="3"/>
  <c r="D67" i="3" s="1"/>
  <c r="B68" i="3"/>
  <c r="O71" i="7"/>
  <c r="O73" i="7"/>
  <c r="O72" i="7"/>
  <c r="T12" i="1"/>
  <c r="T28" i="1"/>
  <c r="D28" i="1"/>
  <c r="B29" i="5"/>
  <c r="B69" i="3" l="1"/>
  <c r="C69" i="3" s="1"/>
  <c r="D69" i="3" s="1"/>
  <c r="C68" i="3"/>
  <c r="D68" i="3" s="1"/>
  <c r="D32" i="1"/>
  <c r="D31" i="1"/>
  <c r="D30" i="1"/>
  <c r="D29" i="1"/>
  <c r="T26" i="1"/>
  <c r="D22" i="1"/>
  <c r="T22" i="1"/>
  <c r="T21" i="1"/>
  <c r="T27" i="1" l="1"/>
  <c r="D26" i="1"/>
  <c r="T25" i="1" l="1"/>
  <c r="T14" i="1"/>
  <c r="D25" i="1"/>
  <c r="T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T23" i="1"/>
  <c r="D23" i="1"/>
  <c r="D21" i="1"/>
  <c r="D19" i="1"/>
  <c r="P18" i="1"/>
  <c r="P17" i="1"/>
  <c r="P16" i="1"/>
  <c r="P15" i="1"/>
  <c r="P13" i="1"/>
  <c r="P11" i="1"/>
  <c r="P10" i="1"/>
  <c r="P9" i="1"/>
  <c r="P8" i="1"/>
  <c r="P7" i="1"/>
  <c r="P6" i="1"/>
  <c r="P5" i="1"/>
  <c r="P4" i="1"/>
  <c r="P3" i="1"/>
  <c r="P2" i="1"/>
  <c r="T18" i="1"/>
  <c r="T17" i="1"/>
  <c r="D18" i="1"/>
  <c r="D17" i="1"/>
  <c r="T11" i="1"/>
  <c r="T4" i="1"/>
  <c r="T6" i="1"/>
  <c r="T15" i="1"/>
  <c r="D15" i="1"/>
  <c r="T7" i="1"/>
  <c r="D7" i="1"/>
  <c r="T8" i="1"/>
  <c r="D8" i="1"/>
  <c r="D5" i="1"/>
  <c r="D2" i="1"/>
  <c r="D13" i="1"/>
  <c r="D16" i="1"/>
  <c r="D3" i="1"/>
  <c r="D9" i="1"/>
  <c r="T5" i="1"/>
  <c r="T2" i="1"/>
  <c r="T13" i="1"/>
  <c r="T16" i="1"/>
  <c r="T3" i="1"/>
  <c r="T10" i="1"/>
  <c r="T9" i="1"/>
  <c r="E72" i="1" l="1"/>
  <c r="E71" i="1"/>
  <c r="D3" i="3"/>
  <c r="V74" i="1"/>
  <c r="V80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M95" i="7" l="1"/>
  <c r="O95" i="7" s="1"/>
  <c r="S95" i="7" l="1"/>
  <c r="N95" i="7"/>
  <c r="T95" i="7"/>
  <c r="P95" i="7"/>
  <c r="Q95" i="7"/>
  <c r="V95" i="7"/>
  <c r="W9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<sst xmlns="http://schemas.openxmlformats.org/spreadsheetml/2006/main" count="1070" uniqueCount="752">
  <si>
    <t>Trade ID</t>
  </si>
  <si>
    <t>Entry Date</t>
  </si>
  <si>
    <t>Exit Date</t>
  </si>
  <si>
    <t>Holding Period</t>
  </si>
  <si>
    <t>Symbol</t>
  </si>
  <si>
    <t>Instrument Name</t>
  </si>
  <si>
    <t>Trade Type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</si>
  <si>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</si>
  <si>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</si>
  <si>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</si>
  <si>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</si>
  <si>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</si>
  <si>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</si>
  <si>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</si>
  <si>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</si>
  <si>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</si>
  <si>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</si>
  <si>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</si>
  <si>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</si>
  <si>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</si>
  <si>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</si>
  <si>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</si>
  <si>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</si>
  <si>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Equities</t>
  </si>
  <si>
    <t>JPM</t>
  </si>
  <si>
    <t>JP Morgan</t>
  </si>
  <si>
    <t xml:space="preserve">SI </t>
  </si>
  <si>
    <t>Silver Futures</t>
  </si>
  <si>
    <t>RV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</si>
  <si>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</si>
  <si>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</si>
  <si>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</si>
  <si>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</si>
  <si>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</si>
  <si>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</si>
  <si>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</si>
  <si>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</si>
  <si>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</si>
  <si>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</si>
  <si>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Swiss Franc Futures</t>
  </si>
  <si>
    <t>SFU6</t>
  </si>
  <si>
    <t>IWD</t>
  </si>
  <si>
    <t>iShares Russell 1000 Value ETF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</si>
  <si>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</si>
  <si>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</si>
  <si>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</si>
  <si>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</si>
  <si>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</si>
  <si>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</si>
  <si>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</si>
  <si>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</si>
  <si>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</si>
  <si>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</si>
  <si>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</si>
  <si>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</si>
  <si>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</si>
  <si>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</si>
  <si>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</si>
  <si>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</si>
  <si>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</si>
  <si>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</si>
  <si>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</si>
  <si>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</si>
  <si>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</si>
  <si>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</si>
  <si>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</si>
  <si>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</si>
  <si>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</si>
  <si>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</si>
  <si>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</si>
  <si>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</si>
  <si>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</si>
  <si>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MES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</si>
  <si>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</si>
  <si>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</si>
  <si>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</si>
  <si>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</si>
  <si>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</si>
  <si>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</si>
  <si>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</si>
  <si>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</si>
  <si>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</si>
  <si>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</si>
  <si>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</si>
  <si>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</si>
  <si>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</si>
  <si>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</si>
  <si>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</si>
  <si>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</si>
  <si>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</si>
  <si>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</si>
  <si>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</si>
  <si>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</si>
  <si>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</si>
  <si>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</si>
  <si>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</si>
  <si>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</si>
  <si>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</si>
  <si>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</si>
  <si>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</si>
  <si>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</si>
  <si>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</si>
  <si>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</si>
  <si>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</si>
  <si>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</si>
  <si>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</si>
  <si>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</si>
  <si>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</si>
  <si>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</si>
  <si>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</si>
  <si>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</si>
  <si>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</si>
  <si>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</si>
  <si>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</si>
  <si>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</si>
  <si>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</si>
  <si>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</si>
  <si>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</si>
  <si>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</si>
  <si>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</si>
  <si>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</si>
  <si>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</si>
  <si>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</si>
  <si>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</si>
  <si>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</si>
  <si>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</si>
  <si>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</si>
  <si>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</si>
  <si>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</si>
  <si>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</si>
  <si>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</si>
  <si>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</si>
  <si>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</si>
  <si>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</si>
  <si>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</si>
  <si>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</si>
  <si>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</si>
  <si>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</si>
  <si>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</si>
  <si>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</si>
  <si>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</si>
  <si>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</si>
  <si>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</si>
  <si>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</si>
  <si>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</si>
  <si>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</si>
  <si>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</si>
  <si>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</si>
  <si>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</si>
  <si>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</si>
  <si>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</si>
  <si>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</si>
  <si>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</si>
  <si>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</si>
  <si>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</si>
  <si>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</si>
  <si>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</si>
  <si>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</si>
  <si>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</si>
  <si>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</si>
  <si>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</si>
  <si>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</si>
  <si>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</si>
  <si>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</si>
  <si>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</si>
  <si>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</si>
  <si>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</si>
  <si>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</si>
  <si>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</si>
  <si>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</si>
  <si>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</si>
  <si>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</si>
  <si>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</si>
  <si>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</si>
  <si>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</si>
  <si>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</si>
  <si>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</si>
  <si>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</si>
  <si>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</si>
  <si>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</si>
  <si>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</si>
  <si>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</si>
  <si>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</si>
  <si>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</si>
  <si>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</si>
  <si>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</si>
  <si>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</si>
  <si>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</si>
  <si>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</si>
  <si>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</si>
  <si>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</si>
  <si>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</si>
  <si>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</si>
  <si>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</si>
  <si>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</si>
  <si>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</si>
  <si>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</si>
  <si>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</si>
  <si>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</si>
  <si>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</si>
  <si>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</si>
  <si>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</si>
  <si>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</si>
  <si>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</si>
  <si>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</si>
  <si>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</si>
  <si>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</si>
  <si>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</si>
  <si>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</si>
  <si>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</si>
  <si>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</si>
  <si>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</si>
  <si>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</si>
  <si>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</si>
  <si>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</si>
  <si>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</si>
  <si>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</si>
  <si>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</si>
  <si>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</si>
  <si>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</si>
  <si>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</si>
  <si>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</si>
  <si>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</si>
  <si>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</si>
  <si>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</si>
  <si>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</si>
  <si>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</si>
  <si>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</si>
  <si>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</si>
  <si>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</si>
  <si>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</si>
  <si>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</si>
  <si>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</si>
  <si>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</si>
  <si>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</si>
  <si>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</si>
  <si>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</si>
  <si>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</si>
  <si>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</si>
  <si>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</si>
  <si>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</si>
  <si>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</si>
  <si>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</si>
  <si>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</si>
  <si>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</si>
  <si>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</si>
  <si>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</si>
  <si>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</si>
  <si>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</si>
  <si>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</si>
  <si>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</si>
  <si>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</si>
  <si>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</si>
  <si>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</si>
  <si>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</si>
  <si>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</si>
  <si>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</si>
  <si>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</si>
  <si>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</si>
  <si>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</si>
  <si>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</si>
  <si>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</si>
  <si>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</si>
  <si>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</si>
  <si>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</si>
  <si>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</si>
  <si>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</si>
  <si>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</si>
  <si>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</si>
  <si>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</si>
  <si>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</si>
  <si>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</si>
  <si>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</si>
  <si>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</si>
  <si>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</si>
  <si>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</si>
  <si>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</si>
  <si>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</si>
  <si>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</si>
  <si>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</si>
  <si>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</si>
  <si>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</si>
  <si>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</si>
  <si>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</si>
  <si>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</si>
  <si>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</si>
  <si>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</si>
  <si>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</si>
  <si>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</si>
  <si>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</si>
  <si>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</si>
  <si>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</si>
  <si>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</si>
  <si>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</si>
  <si>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</si>
  <si>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</si>
  <si>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</si>
  <si>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</si>
  <si>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</si>
  <si>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</si>
  <si>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</si>
  <si>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</si>
  <si>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</si>
  <si>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</si>
  <si>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</si>
  <si>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</si>
  <si>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</si>
  <si>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</si>
  <si>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</si>
  <si>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</si>
  <si>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</si>
  <si>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</si>
  <si>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</si>
  <si>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</si>
  <si>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</si>
  <si>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</si>
  <si>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</si>
  <si>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</si>
  <si>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</si>
  <si>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</si>
  <si>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</si>
  <si>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</si>
  <si>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</si>
  <si>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</si>
  <si>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</si>
  <si>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</si>
  <si>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</si>
  <si>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</si>
  <si>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</si>
  <si>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</si>
  <si>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</si>
  <si>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</si>
  <si>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</si>
  <si>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</si>
  <si>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</si>
  <si>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</si>
  <si>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</si>
  <si>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</si>
  <si>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</si>
  <si>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</si>
  <si>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</si>
  <si>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</si>
  <si>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</si>
  <si>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</si>
  <si>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</si>
  <si>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</si>
  <si>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</si>
  <si>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</si>
  <si>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</si>
  <si>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</si>
  <si>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</si>
  <si>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</si>
  <si>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</si>
  <si>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</si>
  <si>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</si>
  <si>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</si>
  <si>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</si>
  <si>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</si>
  <si>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</si>
  <si>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</si>
  <si>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</si>
  <si>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</si>
  <si>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</si>
  <si>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</si>
  <si>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</si>
  <si>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</si>
  <si>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</si>
  <si>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</si>
  <si>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</si>
  <si>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</si>
  <si>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</si>
  <si>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</si>
  <si>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</si>
  <si>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</si>
  <si>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</si>
  <si>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</si>
  <si>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</si>
  <si>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</si>
  <si>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</si>
  <si>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</si>
  <si>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</si>
  <si>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</si>
  <si>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</si>
  <si>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</si>
  <si>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</si>
  <si>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</si>
  <si>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</si>
  <si>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</si>
  <si>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</si>
  <si>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</si>
  <si>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</si>
  <si>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</si>
  <si>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</si>
  <si>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</si>
  <si>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</si>
  <si>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</si>
  <si>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</si>
  <si>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</si>
  <si>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</si>
  <si>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</si>
  <si>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</si>
  <si>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</si>
  <si>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</si>
  <si>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</si>
  <si>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</si>
  <si>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</si>
  <si>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</si>
  <si>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</si>
  <si>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</si>
  <si>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</si>
  <si>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</si>
  <si>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</si>
  <si>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</si>
  <si>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</si>
  <si>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</si>
  <si>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</si>
  <si>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</si>
  <si>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</si>
  <si>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</si>
  <si>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</si>
  <si>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</si>
  <si>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</si>
  <si>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</si>
  <si>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</si>
  <si>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</si>
  <si>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</si>
  <si>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</si>
  <si>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</si>
  <si>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</si>
  <si>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</si>
  <si>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</si>
  <si>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</si>
  <si>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</si>
  <si>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</si>
  <si>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</si>
  <si>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</si>
  <si>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</si>
  <si>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</si>
  <si>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</si>
  <si>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</si>
  <si>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</si>
  <si>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</si>
  <si>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</si>
  <si>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</si>
  <si>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</si>
  <si>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</si>
  <si>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</si>
  <si>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</si>
  <si>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</si>
  <si>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</si>
  <si>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</si>
  <si>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</si>
  <si>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</si>
  <si>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</si>
  <si>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</si>
  <si>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</si>
  <si>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</si>
  <si>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</si>
  <si>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</si>
  <si>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</si>
  <si>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</si>
  <si>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</si>
  <si>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</si>
  <si>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</si>
  <si>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</si>
  <si>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</si>
  <si>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</si>
  <si>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</si>
  <si>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</si>
  <si>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</si>
  <si>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</si>
  <si>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</si>
  <si>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</si>
  <si>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</si>
  <si>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</si>
  <si>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</si>
  <si>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</si>
  <si>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</si>
  <si>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</si>
  <si>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</si>
  <si>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</si>
  <si>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</si>
  <si>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</si>
  <si>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</si>
  <si>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</si>
  <si>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</si>
  <si>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</si>
  <si>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</si>
  <si>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</si>
  <si>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</si>
  <si>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</si>
  <si>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</si>
  <si>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</si>
  <si>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</si>
  <si>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</si>
  <si>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</si>
  <si>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</si>
  <si>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</si>
  <si>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</si>
  <si>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</si>
  <si>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</si>
  <si>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</si>
  <si>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</si>
  <si>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</si>
  <si>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</si>
  <si>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</si>
  <si>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</si>
  <si>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</si>
  <si>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</si>
  <si>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</si>
  <si>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</si>
  <si>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</si>
  <si>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</si>
  <si>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</si>
  <si>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</si>
  <si>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</si>
  <si>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</si>
  <si>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</si>
  <si>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</si>
  <si>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</si>
  <si>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</si>
  <si>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</si>
  <si>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</si>
  <si>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</si>
  <si>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</si>
  <si>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</si>
  <si>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</si>
  <si>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</si>
  <si>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</si>
  <si>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</si>
  <si>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</si>
  <si>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</si>
  <si>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</si>
  <si>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</si>
  <si>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</si>
  <si>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</si>
  <si>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</si>
  <si>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</si>
  <si>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</si>
  <si>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</si>
  <si>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</si>
  <si>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</si>
  <si>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</si>
  <si>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</si>
  <si>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</si>
  <si>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</si>
  <si>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</si>
  <si>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</si>
  <si>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</si>
  <si>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</si>
  <si>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</si>
  <si>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</si>
  <si>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</si>
  <si>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</si>
  <si>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</si>
  <si>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</si>
  <si>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</si>
  <si>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</si>
  <si>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</si>
  <si>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</si>
  <si>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</si>
  <si>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</si>
  <si>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</si>
  <si>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</si>
  <si>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</si>
  <si>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</si>
  <si>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</si>
  <si>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</si>
  <si>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</si>
  <si>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</si>
  <si>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</si>
  <si>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</si>
  <si>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</si>
  <si>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</si>
  <si>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</si>
  <si>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</si>
  <si>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</si>
  <si>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</si>
  <si>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</si>
  <si>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</si>
  <si>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</si>
  <si>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</si>
  <si>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</si>
  <si>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</si>
  <si>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</si>
  <si>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</si>
  <si>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</si>
  <si>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</si>
  <si>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</si>
  <si>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</si>
  <si>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</si>
  <si>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</si>
  <si>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</si>
  <si>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</si>
  <si>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</si>
  <si>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</si>
  <si>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</si>
  <si>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</si>
  <si>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</si>
  <si>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</si>
  <si>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</si>
  <si>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</si>
  <si>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</si>
  <si>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</si>
  <si>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</si>
  <si>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</si>
  <si>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</si>
  <si>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</si>
  <si>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</si>
  <si>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</si>
  <si>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</si>
  <si>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</si>
  <si>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</si>
  <si>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</si>
  <si>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</si>
  <si>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</si>
  <si>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</si>
  <si>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</si>
  <si>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</si>
  <si>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</si>
  <si>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</si>
  <si>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MHG</t>
  </si>
  <si>
    <t>Copper Futures</t>
  </si>
  <si>
    <t>MHGZ6</t>
  </si>
  <si>
    <t>UEC</t>
  </si>
  <si>
    <t>Uranium Energy Corp</t>
  </si>
  <si>
    <t>TRUP</t>
  </si>
  <si>
    <t>Trupanion Inc</t>
  </si>
  <si>
    <t>BKE</t>
  </si>
  <si>
    <t>Buckle Inc</t>
  </si>
  <si>
    <t>RL</t>
  </si>
  <si>
    <t>Ralph Lauren</t>
  </si>
  <si>
    <t>Vix Futures</t>
  </si>
  <si>
    <t>S&amp;P Futures</t>
  </si>
  <si>
    <t>Theme</t>
  </si>
  <si>
    <t>RL (-)</t>
  </si>
  <si>
    <t>BKE (-)</t>
  </si>
  <si>
    <t>TRUP (-)</t>
  </si>
  <si>
    <t>UEC (+)</t>
  </si>
  <si>
    <t>Gold (+) Copper (-)</t>
  </si>
  <si>
    <t>Euro (+)</t>
  </si>
  <si>
    <t>Vix (+)</t>
  </si>
  <si>
    <t>JPM (+)</t>
  </si>
  <si>
    <t>TMO (-)</t>
  </si>
  <si>
    <t>WAT (-)</t>
  </si>
  <si>
    <t>IWM (+) SPY(-)</t>
  </si>
  <si>
    <t>ACAD (+)</t>
  </si>
  <si>
    <t>TSM (-)</t>
  </si>
  <si>
    <t>LCII (+)</t>
  </si>
  <si>
    <t>DDOG (-)</t>
  </si>
  <si>
    <t>Natgas (-)</t>
  </si>
  <si>
    <t>CRWD (-)</t>
  </si>
  <si>
    <t>MDU (+)</t>
  </si>
  <si>
    <t>S&amp;P500 (-)</t>
  </si>
  <si>
    <t>NSC (+)</t>
  </si>
  <si>
    <t>DAC (-)</t>
  </si>
  <si>
    <t>HD (+)</t>
  </si>
  <si>
    <t>DECK (+)</t>
  </si>
  <si>
    <t>HGV (+)</t>
  </si>
  <si>
    <t>TAN (+)</t>
  </si>
  <si>
    <t>Bund (+)</t>
  </si>
  <si>
    <t>AFL (+)</t>
  </si>
  <si>
    <t>META (-)</t>
  </si>
  <si>
    <t>Dow (+)</t>
  </si>
  <si>
    <t>SHW (+)</t>
  </si>
  <si>
    <t>TRIP (+)</t>
  </si>
  <si>
    <t>VZ (-)</t>
  </si>
  <si>
    <t>PH (+)</t>
  </si>
  <si>
    <t>ITW (+)</t>
  </si>
  <si>
    <t>SLB (-)</t>
  </si>
  <si>
    <t>NEM (-)</t>
  </si>
  <si>
    <t>Gold (-)</t>
  </si>
  <si>
    <t>CAD (-)</t>
  </si>
  <si>
    <t>Euro (-)</t>
  </si>
  <si>
    <t>Sugar (-)</t>
  </si>
  <si>
    <t>Industrials (+)</t>
  </si>
  <si>
    <t>EFA (+)</t>
  </si>
  <si>
    <t>AAPL (-)</t>
  </si>
  <si>
    <t>SPCX (+)</t>
  </si>
  <si>
    <t>LLY (-)</t>
  </si>
  <si>
    <t>Coffee (-)</t>
  </si>
  <si>
    <t>META (+)</t>
  </si>
  <si>
    <t>KRE (-)</t>
  </si>
  <si>
    <t>Silver (+) Gold (-)</t>
  </si>
  <si>
    <t>CHF (+)</t>
  </si>
  <si>
    <t>Cocoa (-)</t>
  </si>
  <si>
    <t>JPM (-)</t>
  </si>
  <si>
    <t>MU (-)</t>
  </si>
  <si>
    <t>identifier</t>
  </si>
  <si>
    <t>mu</t>
  </si>
  <si>
    <t>jpm</t>
  </si>
  <si>
    <t>silver</t>
  </si>
  <si>
    <t>eur</t>
  </si>
  <si>
    <t>cocoa</t>
  </si>
  <si>
    <t>chf</t>
  </si>
  <si>
    <t>iwd</t>
  </si>
  <si>
    <t>iwf</t>
  </si>
  <si>
    <t>gold</t>
  </si>
  <si>
    <t>kre</t>
  </si>
  <si>
    <t>meta</t>
  </si>
  <si>
    <t>vix</t>
  </si>
  <si>
    <t>coffee</t>
  </si>
  <si>
    <t>lly</t>
  </si>
  <si>
    <t>spcx</t>
  </si>
  <si>
    <t>aapl</t>
  </si>
  <si>
    <t>efa</t>
  </si>
  <si>
    <t>xai</t>
  </si>
  <si>
    <t>tlt</t>
  </si>
  <si>
    <t>es</t>
  </si>
  <si>
    <t>sugar</t>
  </si>
  <si>
    <t>cad</t>
  </si>
  <si>
    <t>nem</t>
  </si>
  <si>
    <t>slb</t>
  </si>
  <si>
    <t>itw</t>
  </si>
  <si>
    <t>ph</t>
  </si>
  <si>
    <t>shw</t>
  </si>
  <si>
    <t>vz</t>
  </si>
  <si>
    <t>trip</t>
  </si>
  <si>
    <t>dow</t>
  </si>
  <si>
    <t>afl</t>
  </si>
  <si>
    <t>bund</t>
  </si>
  <si>
    <t>tan</t>
  </si>
  <si>
    <t>hgv</t>
  </si>
  <si>
    <t>deck</t>
  </si>
  <si>
    <t>hd</t>
  </si>
  <si>
    <t>dac</t>
  </si>
  <si>
    <t>nsc</t>
  </si>
  <si>
    <t>mdu</t>
  </si>
  <si>
    <t>crwd</t>
  </si>
  <si>
    <t>natgas</t>
  </si>
  <si>
    <t>ddog</t>
  </si>
  <si>
    <t>lcii</t>
  </si>
  <si>
    <t>tsm</t>
  </si>
  <si>
    <t>acad</t>
  </si>
  <si>
    <t>iwm</t>
  </si>
  <si>
    <t>spy</t>
  </si>
  <si>
    <t>wat</t>
  </si>
  <si>
    <t>tmo</t>
  </si>
  <si>
    <t>copper</t>
  </si>
  <si>
    <t>uec</t>
  </si>
  <si>
    <t>trup</t>
  </si>
  <si>
    <t>bke</t>
  </si>
  <si>
    <t>rl</t>
  </si>
  <si>
    <t>CHF</t>
  </si>
  <si>
    <t>Value-IWD (+) Growth-IWF (-)</t>
  </si>
  <si>
    <t>Bonds-TLT (+) Equities-ES (-)</t>
  </si>
  <si>
    <t>MNST</t>
  </si>
  <si>
    <t>mnst</t>
  </si>
  <si>
    <t>Monster Beverage</t>
  </si>
  <si>
    <t>MNST (-)</t>
  </si>
  <si>
    <t>Gross_Exposure</t>
  </si>
  <si>
    <t>Gross_Exposure_pct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</si>
</sst>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9" fontId="7" fillId="4" borderId="0" xfId="0" applyNumberFormat="1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tabSelected="1" zoomScaleNormal="100" workbookViewId="0">
      <pane ySplit="1" topLeftCell="A39" activePane="bottomLeft" state="frozen"/>
      <selection activeCell="D1" sqref="D1"/>
      <selection pane="bottomLeft" activeCell="P68" sqref="P68"/>
    </sheetView>
  </sheetViews>
  <sheetFormatPr baseColWidth="10" defaultColWidth="9.1640625" defaultRowHeight="21" x14ac:dyDescent="0.25"/>
  <cols>
    <col min="1" max="1" width="10.5" style="33" bestFit="1" customWidth="1"/>
    <col min="2" max="3" width="14" style="50" bestFit="1" customWidth="1"/>
    <col min="4" max="4" width="16.5" style="46" customWidth="1"/>
    <col min="5" max="5" width="9" style="33" bestFit="1" customWidth="1"/>
    <col min="6" max="6" width="11.1640625" style="33" bestFit="1" customWidth="1"/>
    <col min="7" max="7" width="57.6640625" style="33" bestFit="1" customWidth="1"/>
    <col min="8" max="8" width="13.33203125" style="33" bestFit="1" customWidth="1"/>
    <col min="9" max="9" width="34" style="33" bestFit="1" customWidth="1"/>
    <col min="10" max="11" width="13" style="33" bestFit="1" customWidth="1"/>
    <col min="12" max="12" width="12.33203125" style="33" bestFit="1" customWidth="1"/>
    <col min="13" max="13" width="10.5" style="33" bestFit="1" customWidth="1"/>
    <col min="14" max="14" width="13.1640625" style="33" bestFit="1" customWidth="1"/>
    <col min="15" max="17" width="11.83203125" style="33" bestFit="1" customWidth="1"/>
    <col min="18" max="18" width="7.5" style="33" bestFit="1" customWidth="1"/>
    <col min="19" max="19" width="10.1640625" style="33" bestFit="1" customWidth="1"/>
    <col min="20" max="20" width="18.1640625" style="33" bestFit="1" customWidth="1"/>
    <col min="21" max="21" width="10" style="33" bestFit="1" customWidth="1"/>
    <col min="22" max="22" width="13" style="33" bestFit="1" customWidth="1"/>
    <col min="23" max="23" width="14.83203125" style="33" bestFit="1" customWidth="1"/>
    <col min="24" max="24" width="6" style="33" bestFit="1" customWidth="1"/>
    <col min="25" max="25" width="18.5" style="33" bestFit="1" customWidth="1"/>
    <col min="26" max="26" width="23.33203125" style="58" bestFit="1" customWidth="1"/>
    <col min="27" max="16384" width="9.1640625" style="33"/>
  </cols>
  <sheetData>
    <row r="1" spans="1:26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688</v>
      </c>
      <c r="G1" s="30" t="s">
        <v>5</v>
      </c>
      <c r="H1" s="30" t="s">
        <v>6</v>
      </c>
      <c r="I1" s="30" t="s">
        <v>634</v>
      </c>
      <c r="J1" s="30" t="s">
        <v>7</v>
      </c>
      <c r="K1" s="30" t="s">
        <v>7</v>
      </c>
      <c r="L1" s="30" t="s">
        <v>8</v>
      </c>
      <c r="M1" s="30" t="s">
        <v>9</v>
      </c>
      <c r="N1" s="30" t="s">
        <v>10</v>
      </c>
      <c r="O1" s="30" t="s">
        <v>11</v>
      </c>
      <c r="P1" s="30" t="s">
        <v>12</v>
      </c>
      <c r="Q1" s="30" t="s">
        <v>13</v>
      </c>
      <c r="R1" s="30" t="s">
        <v>14</v>
      </c>
      <c r="S1" s="30" t="s">
        <v>15</v>
      </c>
      <c r="T1" s="30" t="s">
        <v>16</v>
      </c>
      <c r="U1" s="30" t="s">
        <v>17</v>
      </c>
      <c r="V1" s="30" t="s">
        <v>18</v>
      </c>
      <c r="W1" s="30" t="s">
        <v>19</v>
      </c>
      <c r="Y1" s="30" t="s">
        <v>750</v>
      </c>
      <c r="Z1" s="57" t="s">
        <v>751</v>
      </c>
    </row>
    <row r="2" spans="1:26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20</v>
      </c>
      <c r="F2" s="33" t="s">
        <v>689</v>
      </c>
      <c r="G2" s="36" t="s">
        <v>21</v>
      </c>
      <c r="H2" s="37" t="s">
        <v>22</v>
      </c>
      <c r="I2" s="38" t="s">
        <v>687</v>
      </c>
      <c r="J2" s="37" t="s">
        <v>23</v>
      </c>
      <c r="K2" s="37" t="s">
        <v>23</v>
      </c>
      <c r="L2" s="33" t="s">
        <v>20</v>
      </c>
      <c r="M2" s="33">
        <v>-100</v>
      </c>
      <c r="N2" s="33">
        <v>1057.1199999999999</v>
      </c>
      <c r="O2" s="33">
        <v>941.37</v>
      </c>
      <c r="P2" s="33">
        <f t="shared" ref="P2:P11" si="1">O2</f>
        <v>941.37</v>
      </c>
      <c r="Q2" s="39">
        <v>105712</v>
      </c>
      <c r="R2" s="33">
        <v>2.94</v>
      </c>
      <c r="S2" s="33">
        <v>1</v>
      </c>
      <c r="T2" s="40">
        <f t="shared" ref="T2:T12" si="2">IF(S2=1, ABS(O2-N2)/N2, 0)</f>
        <v>0.10949561071590727</v>
      </c>
      <c r="U2" s="39">
        <v>11575</v>
      </c>
      <c r="V2" s="41">
        <v>11575</v>
      </c>
      <c r="Y2" s="39">
        <f>Q2</f>
        <v>105712</v>
      </c>
    </row>
    <row r="3" spans="1:26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24</v>
      </c>
      <c r="F3" s="37" t="s">
        <v>690</v>
      </c>
      <c r="G3" s="38" t="s">
        <v>25</v>
      </c>
      <c r="H3" s="37" t="s">
        <v>22</v>
      </c>
      <c r="I3" s="38" t="s">
        <v>686</v>
      </c>
      <c r="J3" s="37" t="s">
        <v>23</v>
      </c>
      <c r="K3" s="37" t="s">
        <v>23</v>
      </c>
      <c r="L3" s="37" t="s">
        <v>24</v>
      </c>
      <c r="M3" s="37">
        <v>-450</v>
      </c>
      <c r="N3" s="37">
        <v>308.14999999999998</v>
      </c>
      <c r="O3" s="37">
        <v>317.27260000000001</v>
      </c>
      <c r="P3" s="33">
        <f t="shared" si="1"/>
        <v>317.27260000000001</v>
      </c>
      <c r="Q3" s="42">
        <v>138667.5</v>
      </c>
      <c r="R3" s="37">
        <v>-7.92</v>
      </c>
      <c r="S3" s="37">
        <v>0</v>
      </c>
      <c r="T3" s="40">
        <f t="shared" si="2"/>
        <v>0</v>
      </c>
      <c r="U3" s="42">
        <v>-4105.18</v>
      </c>
      <c r="V3" s="43">
        <v>-4105.18</v>
      </c>
      <c r="Y3" s="39">
        <f t="shared" ref="Y3:Y13" si="3">Y2+Q3</f>
        <v>244379.5</v>
      </c>
    </row>
    <row r="4" spans="1:26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26</v>
      </c>
      <c r="F4" s="33" t="s">
        <v>691</v>
      </c>
      <c r="G4" s="36" t="s">
        <v>27</v>
      </c>
      <c r="H4" s="33" t="s">
        <v>28</v>
      </c>
      <c r="I4" s="36" t="s">
        <v>683</v>
      </c>
      <c r="J4" s="33" t="s">
        <v>29</v>
      </c>
      <c r="K4" s="33" t="s">
        <v>114</v>
      </c>
      <c r="L4" s="33" t="s">
        <v>30</v>
      </c>
      <c r="M4" s="33">
        <v>2</v>
      </c>
      <c r="N4" s="33">
        <v>66.334999999999994</v>
      </c>
      <c r="O4" s="33">
        <v>63</v>
      </c>
      <c r="P4" s="33">
        <f t="shared" si="1"/>
        <v>63</v>
      </c>
      <c r="Q4" s="39">
        <v>663350</v>
      </c>
      <c r="R4" s="33">
        <v>10.08</v>
      </c>
      <c r="S4" s="33">
        <v>1</v>
      </c>
      <c r="T4" s="40">
        <f t="shared" si="2"/>
        <v>5.0275118715610072E-2</v>
      </c>
      <c r="U4" s="39">
        <v>-33350</v>
      </c>
      <c r="V4" s="41">
        <v>0</v>
      </c>
      <c r="Y4" s="39">
        <f t="shared" si="3"/>
        <v>907729.5</v>
      </c>
    </row>
    <row r="5" spans="1:26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31</v>
      </c>
      <c r="F5" s="33" t="s">
        <v>692</v>
      </c>
      <c r="G5" s="36" t="s">
        <v>32</v>
      </c>
      <c r="H5" s="37" t="s">
        <v>22</v>
      </c>
      <c r="I5" s="38" t="s">
        <v>640</v>
      </c>
      <c r="J5" s="33" t="s">
        <v>29</v>
      </c>
      <c r="K5" s="33" t="s">
        <v>521</v>
      </c>
      <c r="L5" s="33" t="s">
        <v>31</v>
      </c>
      <c r="M5" s="33">
        <v>20</v>
      </c>
      <c r="N5" s="33">
        <v>1.1535</v>
      </c>
      <c r="O5" s="33">
        <v>1.1579600000000001</v>
      </c>
      <c r="P5" s="33">
        <f t="shared" si="1"/>
        <v>1.1579600000000001</v>
      </c>
      <c r="Q5" s="39">
        <v>2894900</v>
      </c>
      <c r="R5" s="33">
        <v>-98.8</v>
      </c>
      <c r="S5" s="33">
        <v>1</v>
      </c>
      <c r="T5" s="40">
        <f t="shared" si="2"/>
        <v>3.8664932813178418E-3</v>
      </c>
      <c r="U5" s="39">
        <v>11150</v>
      </c>
      <c r="V5" s="41">
        <v>11150</v>
      </c>
      <c r="Y5" s="39">
        <f t="shared" si="3"/>
        <v>3802629.5</v>
      </c>
    </row>
    <row r="6" spans="1:26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33</v>
      </c>
      <c r="F6" s="33" t="s">
        <v>691</v>
      </c>
      <c r="G6" s="36" t="s">
        <v>34</v>
      </c>
      <c r="H6" s="33" t="s">
        <v>28</v>
      </c>
      <c r="I6" s="36" t="s">
        <v>683</v>
      </c>
      <c r="J6" s="33" t="s">
        <v>29</v>
      </c>
      <c r="K6" s="33" t="s">
        <v>114</v>
      </c>
      <c r="L6" s="33" t="s">
        <v>35</v>
      </c>
      <c r="M6" s="33">
        <v>3</v>
      </c>
      <c r="N6" s="33">
        <v>61.529200000000003</v>
      </c>
      <c r="O6" s="33">
        <v>66.92</v>
      </c>
      <c r="P6" s="33">
        <f t="shared" si="1"/>
        <v>66.92</v>
      </c>
      <c r="Q6" s="39">
        <v>461468.75</v>
      </c>
      <c r="R6" s="33">
        <v>14.22</v>
      </c>
      <c r="S6" s="33">
        <v>1</v>
      </c>
      <c r="T6" s="40">
        <f t="shared" si="2"/>
        <v>8.761368585972186E-2</v>
      </c>
      <c r="U6" s="39">
        <v>40406.25</v>
      </c>
      <c r="V6" s="41">
        <v>6343</v>
      </c>
      <c r="Y6" s="39">
        <f t="shared" si="3"/>
        <v>4264098.25</v>
      </c>
    </row>
    <row r="7" spans="1:26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36</v>
      </c>
      <c r="F7" s="33" t="s">
        <v>693</v>
      </c>
      <c r="G7" s="36" t="s">
        <v>37</v>
      </c>
      <c r="H7" s="37" t="s">
        <v>22</v>
      </c>
      <c r="I7" s="38" t="s">
        <v>685</v>
      </c>
      <c r="J7" s="33" t="s">
        <v>29</v>
      </c>
      <c r="K7" s="33" t="s">
        <v>522</v>
      </c>
      <c r="L7" s="33" t="s">
        <v>38</v>
      </c>
      <c r="M7" s="33">
        <v>-3</v>
      </c>
      <c r="N7" s="33">
        <v>4374.66</v>
      </c>
      <c r="O7" s="33">
        <v>4575</v>
      </c>
      <c r="P7" s="33">
        <f t="shared" si="1"/>
        <v>4575</v>
      </c>
      <c r="Q7" s="39">
        <v>131240</v>
      </c>
      <c r="R7" s="33">
        <v>17.82</v>
      </c>
      <c r="S7" s="33">
        <v>0</v>
      </c>
      <c r="T7" s="40">
        <f t="shared" si="2"/>
        <v>0</v>
      </c>
      <c r="U7" s="39">
        <v>-6010</v>
      </c>
      <c r="V7" s="43">
        <v>-6010</v>
      </c>
      <c r="Y7" s="39">
        <f t="shared" si="3"/>
        <v>4395338.25</v>
      </c>
    </row>
    <row r="8" spans="1:26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743</v>
      </c>
      <c r="F8" s="33" t="s">
        <v>694</v>
      </c>
      <c r="G8" s="36" t="s">
        <v>39</v>
      </c>
      <c r="H8" s="37" t="s">
        <v>22</v>
      </c>
      <c r="I8" s="38" t="s">
        <v>684</v>
      </c>
      <c r="J8" s="33" t="s">
        <v>29</v>
      </c>
      <c r="K8" s="33" t="s">
        <v>521</v>
      </c>
      <c r="L8" s="33" t="s">
        <v>40</v>
      </c>
      <c r="M8" s="33">
        <v>20</v>
      </c>
      <c r="N8" s="33">
        <v>1.2499125</v>
      </c>
      <c r="O8" s="33">
        <v>1.2517849999999999</v>
      </c>
      <c r="P8" s="33">
        <f t="shared" si="1"/>
        <v>1.2517849999999999</v>
      </c>
      <c r="Q8" s="39">
        <v>3124781</v>
      </c>
      <c r="R8" s="33">
        <v>98.8</v>
      </c>
      <c r="S8" s="33">
        <v>1</v>
      </c>
      <c r="T8" s="40">
        <f t="shared" si="2"/>
        <v>1.4981048673406688E-3</v>
      </c>
      <c r="U8" s="39">
        <v>4681.25</v>
      </c>
      <c r="V8" s="41">
        <v>4681.25</v>
      </c>
      <c r="Y8" s="39">
        <f t="shared" si="3"/>
        <v>7520119.25</v>
      </c>
    </row>
    <row r="9" spans="1:26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41</v>
      </c>
      <c r="F9" s="37" t="s">
        <v>695</v>
      </c>
      <c r="G9" s="38" t="s">
        <v>42</v>
      </c>
      <c r="H9" s="37" t="s">
        <v>28</v>
      </c>
      <c r="I9" s="38" t="s">
        <v>744</v>
      </c>
      <c r="J9" s="37" t="s">
        <v>43</v>
      </c>
      <c r="K9" s="37" t="s">
        <v>43</v>
      </c>
      <c r="L9" s="37" t="s">
        <v>41</v>
      </c>
      <c r="M9" s="37">
        <v>-400</v>
      </c>
      <c r="N9" s="37">
        <v>241.2475</v>
      </c>
      <c r="O9" s="37">
        <v>242.61</v>
      </c>
      <c r="P9" s="33">
        <f t="shared" si="1"/>
        <v>242.61</v>
      </c>
      <c r="Q9" s="42">
        <v>96499</v>
      </c>
      <c r="R9" s="37">
        <v>7.43</v>
      </c>
      <c r="S9" s="37">
        <v>1</v>
      </c>
      <c r="T9" s="40">
        <f t="shared" si="2"/>
        <v>5.6477269194499897E-3</v>
      </c>
      <c r="U9" s="42">
        <v>-545</v>
      </c>
      <c r="V9" s="44">
        <v>0</v>
      </c>
      <c r="Y9" s="39">
        <f t="shared" si="3"/>
        <v>7616618.25</v>
      </c>
    </row>
    <row r="10" spans="1:26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44</v>
      </c>
      <c r="F10" s="37" t="s">
        <v>696</v>
      </c>
      <c r="G10" s="38" t="s">
        <v>45</v>
      </c>
      <c r="H10" s="37" t="s">
        <v>28</v>
      </c>
      <c r="I10" s="38" t="s">
        <v>744</v>
      </c>
      <c r="J10" s="37" t="s">
        <v>43</v>
      </c>
      <c r="K10" s="37" t="s">
        <v>43</v>
      </c>
      <c r="L10" s="37" t="s">
        <v>44</v>
      </c>
      <c r="M10" s="37">
        <v>800</v>
      </c>
      <c r="N10" s="37">
        <v>120.746</v>
      </c>
      <c r="O10" s="37">
        <v>124.35</v>
      </c>
      <c r="P10" s="33">
        <f t="shared" si="1"/>
        <v>124.35</v>
      </c>
      <c r="Q10" s="42">
        <v>96596.800000000003</v>
      </c>
      <c r="R10" s="37">
        <v>12.93</v>
      </c>
      <c r="S10" s="37">
        <v>1</v>
      </c>
      <c r="T10" s="40">
        <f t="shared" si="2"/>
        <v>2.9847779636592513E-2</v>
      </c>
      <c r="U10" s="42">
        <v>2883.2</v>
      </c>
      <c r="V10" s="44">
        <v>2338.1999999999998</v>
      </c>
      <c r="Y10" s="39">
        <f t="shared" si="3"/>
        <v>7713215.0499999998</v>
      </c>
    </row>
    <row r="11" spans="1:26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46</v>
      </c>
      <c r="F11" s="33" t="s">
        <v>697</v>
      </c>
      <c r="G11" s="36" t="s">
        <v>47</v>
      </c>
      <c r="H11" s="37" t="s">
        <v>28</v>
      </c>
      <c r="I11" s="36" t="s">
        <v>683</v>
      </c>
      <c r="J11" s="33" t="s">
        <v>29</v>
      </c>
      <c r="K11" s="33" t="s">
        <v>114</v>
      </c>
      <c r="L11" s="33" t="s">
        <v>48</v>
      </c>
      <c r="M11" s="33">
        <v>1</v>
      </c>
      <c r="N11" s="33">
        <v>4042.5</v>
      </c>
      <c r="O11" s="33">
        <v>4028.25</v>
      </c>
      <c r="P11" s="33">
        <f t="shared" si="1"/>
        <v>4028.25</v>
      </c>
      <c r="Q11" s="39">
        <v>202125</v>
      </c>
      <c r="R11" s="33">
        <v>4.74</v>
      </c>
      <c r="S11" s="33">
        <v>1</v>
      </c>
      <c r="T11" s="40">
        <f t="shared" si="2"/>
        <v>3.5250463821892395E-3</v>
      </c>
      <c r="U11" s="39">
        <v>-712.5</v>
      </c>
      <c r="V11" s="41">
        <v>0</v>
      </c>
      <c r="Y11" s="39">
        <f t="shared" si="3"/>
        <v>7915340.0499999998</v>
      </c>
    </row>
    <row r="12" spans="1:26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49</v>
      </c>
      <c r="F12" s="37" t="s">
        <v>698</v>
      </c>
      <c r="G12" s="38" t="s">
        <v>50</v>
      </c>
      <c r="H12" s="37" t="s">
        <v>22</v>
      </c>
      <c r="I12" s="38" t="s">
        <v>682</v>
      </c>
      <c r="J12" s="37" t="s">
        <v>43</v>
      </c>
      <c r="K12" s="37" t="s">
        <v>43</v>
      </c>
      <c r="L12" s="37" t="s">
        <v>49</v>
      </c>
      <c r="M12" s="37">
        <v>-3000</v>
      </c>
      <c r="N12" s="37">
        <v>74.614400000000003</v>
      </c>
      <c r="O12" s="37">
        <v>73.084999999999994</v>
      </c>
      <c r="P12" s="37">
        <v>73.084999999999994</v>
      </c>
      <c r="Q12" s="42">
        <v>223843.28</v>
      </c>
      <c r="R12" s="37">
        <v>44.49</v>
      </c>
      <c r="S12" s="37">
        <v>1</v>
      </c>
      <c r="T12" s="40">
        <f t="shared" si="2"/>
        <v>2.0497383883003945E-2</v>
      </c>
      <c r="U12" s="42">
        <v>4588</v>
      </c>
      <c r="V12" s="41">
        <v>4588</v>
      </c>
      <c r="Y12" s="39">
        <f t="shared" si="3"/>
        <v>8139183.3300000001</v>
      </c>
    </row>
    <row r="13" spans="1:26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51</v>
      </c>
      <c r="F13" s="37" t="s">
        <v>699</v>
      </c>
      <c r="G13" s="38" t="s">
        <v>52</v>
      </c>
      <c r="H13" s="37" t="s">
        <v>22</v>
      </c>
      <c r="I13" s="38" t="s">
        <v>681</v>
      </c>
      <c r="J13" s="37" t="s">
        <v>23</v>
      </c>
      <c r="K13" s="37" t="s">
        <v>23</v>
      </c>
      <c r="L13" s="37" t="s">
        <v>51</v>
      </c>
      <c r="M13" s="37">
        <v>100</v>
      </c>
      <c r="N13" s="37">
        <v>550.35</v>
      </c>
      <c r="O13" s="37">
        <v>597.52</v>
      </c>
      <c r="P13" s="33">
        <f>O13</f>
        <v>597.52</v>
      </c>
      <c r="Q13" s="42">
        <v>55035</v>
      </c>
      <c r="R13" s="37">
        <v>2.29</v>
      </c>
      <c r="S13" s="37">
        <v>1</v>
      </c>
      <c r="T13" s="40">
        <f t="shared" ref="T13:T19" si="4">IF(S13=1, ABS(O13-N13)/N13, 0)</f>
        <v>8.5709094212773618E-2</v>
      </c>
      <c r="U13" s="42">
        <v>4717</v>
      </c>
      <c r="V13" s="44">
        <v>4717</v>
      </c>
      <c r="Y13" s="39">
        <f t="shared" si="3"/>
        <v>8194218.3300000001</v>
      </c>
    </row>
    <row r="14" spans="1:26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53</v>
      </c>
      <c r="F14" s="33" t="s">
        <v>700</v>
      </c>
      <c r="G14" s="36" t="s">
        <v>632</v>
      </c>
      <c r="H14" s="33" t="s">
        <v>22</v>
      </c>
      <c r="I14" s="38" t="s">
        <v>641</v>
      </c>
      <c r="J14" s="37" t="s">
        <v>29</v>
      </c>
      <c r="K14" s="37" t="s">
        <v>523</v>
      </c>
      <c r="L14" s="33" t="s">
        <v>54</v>
      </c>
      <c r="M14" s="33">
        <v>60</v>
      </c>
      <c r="N14" s="33">
        <v>20.177299999999999</v>
      </c>
      <c r="O14" s="33">
        <v>17.451599999999999</v>
      </c>
      <c r="P14" s="33">
        <v>17.451599999999999</v>
      </c>
      <c r="Q14" s="39">
        <v>121064</v>
      </c>
      <c r="R14" s="33">
        <v>55.5</v>
      </c>
      <c r="S14" s="33">
        <v>0</v>
      </c>
      <c r="T14" s="40">
        <f t="shared" si="4"/>
        <v>0</v>
      </c>
      <c r="U14" s="39">
        <v>-16354</v>
      </c>
      <c r="V14" s="45">
        <v>-16354</v>
      </c>
      <c r="Y14" s="39">
        <f t="shared" ref="Y14:Y68" si="5">Y13+Q14</f>
        <v>8315282.3300000001</v>
      </c>
    </row>
    <row r="15" spans="1:26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55</v>
      </c>
      <c r="F15" s="33" t="s">
        <v>701</v>
      </c>
      <c r="G15" s="36" t="s">
        <v>56</v>
      </c>
      <c r="H15" s="37" t="s">
        <v>22</v>
      </c>
      <c r="I15" s="38" t="s">
        <v>680</v>
      </c>
      <c r="J15" s="37" t="s">
        <v>29</v>
      </c>
      <c r="K15" s="37" t="s">
        <v>522</v>
      </c>
      <c r="L15" s="33" t="s">
        <v>57</v>
      </c>
      <c r="M15" s="33">
        <v>-1</v>
      </c>
      <c r="N15" s="33">
        <v>3.0939999999999999</v>
      </c>
      <c r="O15" s="33">
        <v>3.0255000000000001</v>
      </c>
      <c r="P15" s="33">
        <f>O15</f>
        <v>3.0255000000000001</v>
      </c>
      <c r="Q15" s="39">
        <v>116025</v>
      </c>
      <c r="R15" s="33">
        <v>5.94</v>
      </c>
      <c r="S15" s="33">
        <v>1</v>
      </c>
      <c r="T15" s="40">
        <f t="shared" si="4"/>
        <v>2.2139625080801483E-2</v>
      </c>
      <c r="U15" s="39">
        <v>2568.75</v>
      </c>
      <c r="V15" s="41">
        <v>2568.75</v>
      </c>
      <c r="Y15" s="39">
        <f t="shared" si="5"/>
        <v>8431307.3300000001</v>
      </c>
    </row>
    <row r="16" spans="1:26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58</v>
      </c>
      <c r="F16" s="37" t="s">
        <v>702</v>
      </c>
      <c r="G16" s="38" t="s">
        <v>59</v>
      </c>
      <c r="H16" s="37" t="s">
        <v>22</v>
      </c>
      <c r="I16" s="38" t="s">
        <v>679</v>
      </c>
      <c r="J16" s="37" t="s">
        <v>23</v>
      </c>
      <c r="K16" s="37" t="s">
        <v>23</v>
      </c>
      <c r="L16" s="37" t="s">
        <v>58</v>
      </c>
      <c r="M16" s="37">
        <v>-75</v>
      </c>
      <c r="N16" s="37">
        <v>1210.816</v>
      </c>
      <c r="O16" s="37">
        <v>1155.49</v>
      </c>
      <c r="P16" s="33">
        <f>O16</f>
        <v>1155.49</v>
      </c>
      <c r="Q16" s="42">
        <v>90811.199999999997</v>
      </c>
      <c r="R16" s="37">
        <v>2.9</v>
      </c>
      <c r="S16" s="37">
        <v>1</v>
      </c>
      <c r="T16" s="40">
        <f t="shared" si="4"/>
        <v>4.5693152386489792E-2</v>
      </c>
      <c r="U16" s="42">
        <v>4149.45</v>
      </c>
      <c r="V16" s="44">
        <v>4149.45</v>
      </c>
      <c r="Y16" s="39">
        <f t="shared" si="5"/>
        <v>8522118.5299999993</v>
      </c>
    </row>
    <row r="17" spans="1:25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60</v>
      </c>
      <c r="F17" s="33" t="s">
        <v>703</v>
      </c>
      <c r="G17" s="36" t="s">
        <v>61</v>
      </c>
      <c r="H17" s="33" t="s">
        <v>22</v>
      </c>
      <c r="I17" s="36" t="s">
        <v>678</v>
      </c>
      <c r="J17" s="33" t="s">
        <v>23</v>
      </c>
      <c r="K17" s="33" t="s">
        <v>23</v>
      </c>
      <c r="L17" s="33" t="s">
        <v>60</v>
      </c>
      <c r="M17" s="33">
        <v>2000</v>
      </c>
      <c r="N17" s="33">
        <v>111.46</v>
      </c>
      <c r="O17" s="33">
        <v>117.0329</v>
      </c>
      <c r="P17" s="33">
        <f>O17</f>
        <v>117.0329</v>
      </c>
      <c r="Q17" s="39">
        <v>232660</v>
      </c>
      <c r="R17" s="33">
        <v>4.5999999999999996</v>
      </c>
      <c r="S17" s="33">
        <v>1</v>
      </c>
      <c r="T17" s="40">
        <f t="shared" si="4"/>
        <v>4.9999102817154174E-2</v>
      </c>
      <c r="U17" s="39">
        <v>11150</v>
      </c>
      <c r="V17" s="41">
        <v>11150</v>
      </c>
      <c r="Y17" s="39">
        <f t="shared" si="5"/>
        <v>8754778.5299999993</v>
      </c>
    </row>
    <row r="18" spans="1:25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62</v>
      </c>
      <c r="F18" s="33" t="s">
        <v>704</v>
      </c>
      <c r="G18" s="36" t="s">
        <v>63</v>
      </c>
      <c r="H18" s="33" t="s">
        <v>22</v>
      </c>
      <c r="I18" s="36" t="s">
        <v>677</v>
      </c>
      <c r="J18" s="33" t="s">
        <v>23</v>
      </c>
      <c r="K18" s="33" t="s">
        <v>23</v>
      </c>
      <c r="L18" s="33" t="s">
        <v>62</v>
      </c>
      <c r="M18" s="33">
        <v>-300</v>
      </c>
      <c r="N18" s="33">
        <v>337.98</v>
      </c>
      <c r="O18" s="33">
        <v>331.22</v>
      </c>
      <c r="P18" s="33">
        <f>O18</f>
        <v>331.22</v>
      </c>
      <c r="Q18" s="39">
        <v>101964</v>
      </c>
      <c r="R18" s="33">
        <v>6.8</v>
      </c>
      <c r="S18" s="33">
        <v>1</v>
      </c>
      <c r="T18" s="40">
        <f t="shared" si="4"/>
        <v>2.0001183501982336E-2</v>
      </c>
      <c r="U18" s="39">
        <v>2033</v>
      </c>
      <c r="V18" s="41">
        <v>2033</v>
      </c>
      <c r="Y18" s="39">
        <f t="shared" si="5"/>
        <v>8856742.5299999993</v>
      </c>
    </row>
    <row r="19" spans="1:25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64</v>
      </c>
      <c r="F19" s="33" t="s">
        <v>705</v>
      </c>
      <c r="G19" s="36" t="s">
        <v>65</v>
      </c>
      <c r="H19" s="33" t="s">
        <v>22</v>
      </c>
      <c r="I19" s="36" t="s">
        <v>676</v>
      </c>
      <c r="J19" s="33" t="s">
        <v>43</v>
      </c>
      <c r="K19" s="33" t="s">
        <v>43</v>
      </c>
      <c r="L19" s="33" t="s">
        <v>64</v>
      </c>
      <c r="M19" s="33">
        <v>-500</v>
      </c>
      <c r="N19" s="33">
        <v>108.102</v>
      </c>
      <c r="O19" s="33">
        <v>107.749</v>
      </c>
      <c r="P19" s="33">
        <v>107.749</v>
      </c>
      <c r="Q19" s="39">
        <v>54051</v>
      </c>
      <c r="R19" s="33">
        <v>4.5599999999999996</v>
      </c>
      <c r="S19" s="33">
        <v>1</v>
      </c>
      <c r="T19" s="40">
        <f t="shared" si="4"/>
        <v>3.2654344970491629E-3</v>
      </c>
      <c r="U19" s="39">
        <v>177</v>
      </c>
      <c r="V19" s="41">
        <v>177</v>
      </c>
      <c r="Y19" s="39">
        <f t="shared" si="5"/>
        <v>8910793.5299999993</v>
      </c>
    </row>
    <row r="20" spans="1:25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67</v>
      </c>
      <c r="F20" s="33" t="s">
        <v>706</v>
      </c>
      <c r="G20" s="36" t="s">
        <v>68</v>
      </c>
      <c r="H20" s="33" t="s">
        <v>22</v>
      </c>
      <c r="I20" s="36" t="s">
        <v>675</v>
      </c>
      <c r="J20" s="33" t="s">
        <v>29</v>
      </c>
      <c r="K20" s="33" t="s">
        <v>524</v>
      </c>
      <c r="L20" s="33" t="s">
        <v>69</v>
      </c>
      <c r="M20" s="33">
        <v>-5</v>
      </c>
      <c r="N20" s="33">
        <v>1868.84</v>
      </c>
      <c r="O20" s="33">
        <v>1860.72</v>
      </c>
      <c r="P20" s="33">
        <v>1860.72</v>
      </c>
      <c r="Q20" s="39">
        <v>185382</v>
      </c>
      <c r="R20" s="33">
        <v>11.2</v>
      </c>
      <c r="S20" s="33">
        <v>1</v>
      </c>
      <c r="T20" s="40">
        <f>IF(S20=1, ABS(O20-N20)/N20, 0)</f>
        <v>4.3449412469766758E-3</v>
      </c>
      <c r="U20" s="39">
        <v>4060</v>
      </c>
      <c r="V20" s="41">
        <v>4060</v>
      </c>
      <c r="Y20" s="39">
        <f t="shared" si="5"/>
        <v>9096175.5299999993</v>
      </c>
    </row>
    <row r="21" spans="1:25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70</v>
      </c>
      <c r="F21" s="33" t="s">
        <v>707</v>
      </c>
      <c r="G21" s="36" t="s">
        <v>71</v>
      </c>
      <c r="H21" s="33" t="s">
        <v>28</v>
      </c>
      <c r="I21" s="36" t="s">
        <v>745</v>
      </c>
      <c r="J21" s="33" t="s">
        <v>43</v>
      </c>
      <c r="K21" s="33" t="s">
        <v>43</v>
      </c>
      <c r="L21" s="33" t="s">
        <v>70</v>
      </c>
      <c r="M21" s="33">
        <v>2000</v>
      </c>
      <c r="N21" s="33">
        <v>82.31</v>
      </c>
      <c r="O21" s="33">
        <v>83.02</v>
      </c>
      <c r="P21" s="33">
        <v>83.02</v>
      </c>
      <c r="Q21" s="39">
        <v>164620</v>
      </c>
      <c r="R21" s="33">
        <v>23.92</v>
      </c>
      <c r="S21" s="33">
        <v>1</v>
      </c>
      <c r="T21" s="40">
        <f>IF(S21=1, ABS(O21-N21)/N21, 0)</f>
        <v>8.6259263758959263E-3</v>
      </c>
      <c r="U21" s="39">
        <v>1420</v>
      </c>
      <c r="V21" s="41">
        <v>0</v>
      </c>
      <c r="Y21" s="39">
        <f t="shared" si="5"/>
        <v>9260795.5299999993</v>
      </c>
    </row>
    <row r="22" spans="1:25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72</v>
      </c>
      <c r="F22" s="33" t="s">
        <v>708</v>
      </c>
      <c r="G22" s="36" t="s">
        <v>633</v>
      </c>
      <c r="H22" s="33" t="s">
        <v>28</v>
      </c>
      <c r="I22" s="36" t="s">
        <v>745</v>
      </c>
      <c r="J22" s="33" t="s">
        <v>29</v>
      </c>
      <c r="K22" s="33" t="s">
        <v>525</v>
      </c>
      <c r="L22" s="33" t="s">
        <v>72</v>
      </c>
      <c r="M22" s="33">
        <v>-4</v>
      </c>
      <c r="N22" s="33">
        <v>7763</v>
      </c>
      <c r="O22" s="33">
        <v>7689.75</v>
      </c>
      <c r="P22" s="33">
        <v>7689.75</v>
      </c>
      <c r="Q22" s="39">
        <v>154290</v>
      </c>
      <c r="R22" s="33">
        <v>17.079999999999998</v>
      </c>
      <c r="S22" s="33">
        <v>1</v>
      </c>
      <c r="T22" s="40">
        <f>IF(S22=1, ABS(O22-N22)/N22, 0)</f>
        <v>9.435785134612908E-3</v>
      </c>
      <c r="U22" s="39">
        <v>1418</v>
      </c>
      <c r="V22" s="41">
        <v>2838</v>
      </c>
      <c r="Y22" s="39">
        <f t="shared" si="5"/>
        <v>9415085.5299999993</v>
      </c>
    </row>
    <row r="23" spans="1:25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73</v>
      </c>
      <c r="F23" s="33" t="s">
        <v>709</v>
      </c>
      <c r="G23" s="36" t="s">
        <v>74</v>
      </c>
      <c r="H23" s="33" t="s">
        <v>22</v>
      </c>
      <c r="I23" s="36" t="s">
        <v>674</v>
      </c>
      <c r="J23" s="33" t="s">
        <v>29</v>
      </c>
      <c r="K23" s="33" t="s">
        <v>522</v>
      </c>
      <c r="L23" s="33" t="s">
        <v>75</v>
      </c>
      <c r="M23" s="33">
        <v>-10</v>
      </c>
      <c r="N23" s="33">
        <v>0.16914999999999999</v>
      </c>
      <c r="O23" s="33">
        <v>0.16313</v>
      </c>
      <c r="P23" s="33">
        <v>0.16313</v>
      </c>
      <c r="Q23" s="39">
        <v>182705</v>
      </c>
      <c r="R23" s="33">
        <v>29.6</v>
      </c>
      <c r="S23" s="33">
        <v>1</v>
      </c>
      <c r="T23" s="40">
        <f>IF(S23=1, ABS(O23-N23)/N23, 0)</f>
        <v>3.5589713272243556E-2</v>
      </c>
      <c r="U23" s="39">
        <v>6742</v>
      </c>
      <c r="V23" s="41">
        <v>6742</v>
      </c>
      <c r="Y23" s="39">
        <f t="shared" si="5"/>
        <v>9597790.5299999993</v>
      </c>
    </row>
    <row r="24" spans="1:25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31</v>
      </c>
      <c r="F24" s="33" t="s">
        <v>692</v>
      </c>
      <c r="G24" s="36" t="s">
        <v>32</v>
      </c>
      <c r="H24" s="33" t="s">
        <v>22</v>
      </c>
      <c r="I24" s="36" t="s">
        <v>673</v>
      </c>
      <c r="J24" s="33" t="s">
        <v>29</v>
      </c>
      <c r="K24" s="33" t="s">
        <v>521</v>
      </c>
      <c r="L24" s="33" t="s">
        <v>76</v>
      </c>
      <c r="M24" s="33">
        <v>-10</v>
      </c>
      <c r="N24" s="33">
        <v>1.1704300000000001</v>
      </c>
      <c r="O24" s="33">
        <v>1.1695</v>
      </c>
      <c r="P24" s="33">
        <v>1.1695</v>
      </c>
      <c r="Q24" s="39">
        <v>1451000</v>
      </c>
      <c r="R24" s="33">
        <v>6.28</v>
      </c>
      <c r="S24" s="33">
        <v>1</v>
      </c>
      <c r="T24" s="40">
        <v>8.0000000000000004E-4</v>
      </c>
      <c r="U24" s="39">
        <v>1245</v>
      </c>
      <c r="V24" s="41">
        <v>1245</v>
      </c>
      <c r="Y24" s="39">
        <f t="shared" si="5"/>
        <v>11048790.529999999</v>
      </c>
    </row>
    <row r="25" spans="1:25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77</v>
      </c>
      <c r="F25" s="33" t="s">
        <v>710</v>
      </c>
      <c r="G25" s="36" t="s">
        <v>78</v>
      </c>
      <c r="H25" s="33" t="s">
        <v>22</v>
      </c>
      <c r="I25" s="36" t="s">
        <v>672</v>
      </c>
      <c r="J25" s="33" t="s">
        <v>29</v>
      </c>
      <c r="K25" s="33" t="s">
        <v>521</v>
      </c>
      <c r="L25" s="33" t="s">
        <v>79</v>
      </c>
      <c r="M25" s="33">
        <v>-6</v>
      </c>
      <c r="N25" s="33">
        <v>0.72838000000000003</v>
      </c>
      <c r="O25" s="33">
        <v>0.72550000000000003</v>
      </c>
      <c r="P25" s="33">
        <v>0.72550000000000003</v>
      </c>
      <c r="Q25" s="39">
        <v>436235</v>
      </c>
      <c r="R25" s="33">
        <v>4.5599999999999996</v>
      </c>
      <c r="S25" s="33">
        <v>1</v>
      </c>
      <c r="T25" s="40">
        <f t="shared" ref="T25:T36" si="6">IF(S25=1, ABS(O25-N25)/N25, 0)</f>
        <v>3.9539800653504951E-3</v>
      </c>
      <c r="U25" s="39">
        <v>1710</v>
      </c>
      <c r="V25" s="41">
        <v>1710</v>
      </c>
      <c r="Y25" s="39">
        <f t="shared" si="5"/>
        <v>11485025.529999999</v>
      </c>
    </row>
    <row r="26" spans="1:25" x14ac:dyDescent="0.25">
      <c r="A26" s="33">
        <v>21</v>
      </c>
      <c r="B26" s="34">
        <v>46258</v>
      </c>
      <c r="C26" s="34">
        <v>46259</v>
      </c>
      <c r="D26" s="35">
        <f t="shared" ref="D26:D62" si="7">C26-B26</f>
        <v>1</v>
      </c>
      <c r="E26" s="33" t="s">
        <v>80</v>
      </c>
      <c r="F26" s="33" t="s">
        <v>697</v>
      </c>
      <c r="G26" s="36" t="s">
        <v>47</v>
      </c>
      <c r="H26" s="33" t="s">
        <v>22</v>
      </c>
      <c r="I26" s="36" t="s">
        <v>671</v>
      </c>
      <c r="J26" s="33" t="s">
        <v>29</v>
      </c>
      <c r="K26" s="33" t="s">
        <v>114</v>
      </c>
      <c r="L26" s="33" t="s">
        <v>81</v>
      </c>
      <c r="M26" s="33">
        <v>-3</v>
      </c>
      <c r="N26" s="33">
        <v>4703.32</v>
      </c>
      <c r="O26" s="33">
        <v>4663.8</v>
      </c>
      <c r="P26" s="33">
        <v>4663.8</v>
      </c>
      <c r="Q26" s="39">
        <v>141200</v>
      </c>
      <c r="R26" s="33">
        <v>9.6</v>
      </c>
      <c r="S26" s="33">
        <v>1</v>
      </c>
      <c r="T26" s="40">
        <f t="shared" si="6"/>
        <v>8.4025752021974973E-3</v>
      </c>
      <c r="U26" s="39">
        <v>715</v>
      </c>
      <c r="V26" s="41">
        <v>715</v>
      </c>
      <c r="Y26" s="39">
        <f t="shared" si="5"/>
        <v>11626225.529999999</v>
      </c>
    </row>
    <row r="27" spans="1:25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82</v>
      </c>
      <c r="F27" s="33" t="s">
        <v>711</v>
      </c>
      <c r="G27" s="36" t="s">
        <v>83</v>
      </c>
      <c r="H27" s="33" t="s">
        <v>22</v>
      </c>
      <c r="I27" s="36" t="s">
        <v>670</v>
      </c>
      <c r="J27" s="33" t="s">
        <v>23</v>
      </c>
      <c r="K27" s="33" t="s">
        <v>23</v>
      </c>
      <c r="L27" s="33" t="s">
        <v>82</v>
      </c>
      <c r="M27" s="33">
        <v>-1000</v>
      </c>
      <c r="N27" s="33">
        <v>133.33799999999999</v>
      </c>
      <c r="O27" s="33">
        <v>129.84</v>
      </c>
      <c r="P27" s="33">
        <v>129.84</v>
      </c>
      <c r="Q27" s="39">
        <v>133338</v>
      </c>
      <c r="R27" s="33">
        <v>9.65</v>
      </c>
      <c r="S27" s="33">
        <v>1</v>
      </c>
      <c r="T27" s="40">
        <f t="shared" si="6"/>
        <v>2.623408180713668E-2</v>
      </c>
      <c r="U27" s="39">
        <v>3498</v>
      </c>
      <c r="V27" s="41">
        <v>3498</v>
      </c>
      <c r="Y27" s="39">
        <f t="shared" si="5"/>
        <v>11759563.529999999</v>
      </c>
    </row>
    <row r="28" spans="1:25" x14ac:dyDescent="0.25">
      <c r="A28" s="33">
        <v>23</v>
      </c>
      <c r="B28" s="34">
        <v>46265</v>
      </c>
      <c r="C28" s="34">
        <v>46266</v>
      </c>
      <c r="D28" s="35">
        <f t="shared" si="7"/>
        <v>1</v>
      </c>
      <c r="E28" s="33" t="s">
        <v>84</v>
      </c>
      <c r="F28" s="33" t="s">
        <v>712</v>
      </c>
      <c r="G28" s="36" t="s">
        <v>85</v>
      </c>
      <c r="H28" s="33" t="s">
        <v>22</v>
      </c>
      <c r="I28" s="36" t="s">
        <v>669</v>
      </c>
      <c r="J28" s="33" t="s">
        <v>23</v>
      </c>
      <c r="K28" s="33" t="s">
        <v>23</v>
      </c>
      <c r="L28" s="33" t="s">
        <v>84</v>
      </c>
      <c r="M28" s="33">
        <v>-1000</v>
      </c>
      <c r="N28" s="33">
        <v>59.798999999999999</v>
      </c>
      <c r="O28" s="33">
        <v>57.99</v>
      </c>
      <c r="P28" s="33">
        <v>57.99</v>
      </c>
      <c r="Q28" s="39">
        <v>59799</v>
      </c>
      <c r="R28" s="33">
        <v>11.32</v>
      </c>
      <c r="S28" s="33">
        <v>1</v>
      </c>
      <c r="T28" s="40">
        <f t="shared" si="6"/>
        <v>3.0251341995685504E-2</v>
      </c>
      <c r="U28" s="39">
        <v>1809</v>
      </c>
      <c r="V28" s="41">
        <v>1809</v>
      </c>
      <c r="Y28" s="39">
        <f t="shared" si="5"/>
        <v>11819362.529999999</v>
      </c>
    </row>
    <row r="29" spans="1:25" x14ac:dyDescent="0.25">
      <c r="A29" s="33">
        <v>24</v>
      </c>
      <c r="B29" s="34">
        <v>46266</v>
      </c>
      <c r="C29" s="34">
        <v>46268</v>
      </c>
      <c r="D29" s="35">
        <f t="shared" si="7"/>
        <v>2</v>
      </c>
      <c r="E29" s="33" t="s">
        <v>86</v>
      </c>
      <c r="F29" s="33" t="s">
        <v>713</v>
      </c>
      <c r="G29" s="36" t="s">
        <v>87</v>
      </c>
      <c r="H29" s="33" t="s">
        <v>22</v>
      </c>
      <c r="I29" s="36" t="s">
        <v>668</v>
      </c>
      <c r="J29" s="33" t="s">
        <v>23</v>
      </c>
      <c r="K29" s="33" t="s">
        <v>23</v>
      </c>
      <c r="L29" s="33" t="s">
        <v>86</v>
      </c>
      <c r="M29" s="33">
        <v>900</v>
      </c>
      <c r="N29" s="33">
        <v>269.69299999999998</v>
      </c>
      <c r="O29" s="33">
        <v>270.42500000000001</v>
      </c>
      <c r="P29" s="33">
        <v>270.42500000000001</v>
      </c>
      <c r="Q29" s="39">
        <v>242723</v>
      </c>
      <c r="R29" s="33">
        <v>12.28</v>
      </c>
      <c r="S29" s="33">
        <v>1</v>
      </c>
      <c r="T29" s="40">
        <f t="shared" si="6"/>
        <v>2.7141972539147393E-3</v>
      </c>
      <c r="U29" s="39">
        <v>2891</v>
      </c>
      <c r="V29" s="41">
        <v>2891</v>
      </c>
      <c r="Y29" s="39">
        <f t="shared" si="5"/>
        <v>12062085.529999999</v>
      </c>
    </row>
    <row r="30" spans="1:25" x14ac:dyDescent="0.25">
      <c r="A30" s="33">
        <v>25</v>
      </c>
      <c r="B30" s="34">
        <v>46266</v>
      </c>
      <c r="C30" s="34">
        <v>46268</v>
      </c>
      <c r="D30" s="35">
        <f t="shared" si="7"/>
        <v>2</v>
      </c>
      <c r="E30" s="33" t="s">
        <v>88</v>
      </c>
      <c r="F30" s="33" t="s">
        <v>714</v>
      </c>
      <c r="G30" s="36" t="s">
        <v>89</v>
      </c>
      <c r="H30" s="33" t="s">
        <v>22</v>
      </c>
      <c r="I30" s="36" t="s">
        <v>667</v>
      </c>
      <c r="J30" s="33" t="s">
        <v>23</v>
      </c>
      <c r="K30" s="33" t="s">
        <v>23</v>
      </c>
      <c r="L30" s="33" t="s">
        <v>88</v>
      </c>
      <c r="M30" s="33">
        <v>310</v>
      </c>
      <c r="N30" s="33">
        <v>951.66</v>
      </c>
      <c r="O30" s="33">
        <v>949.6</v>
      </c>
      <c r="P30" s="33">
        <v>949.6</v>
      </c>
      <c r="Q30" s="39">
        <v>295017</v>
      </c>
      <c r="R30" s="33">
        <v>9.18</v>
      </c>
      <c r="S30" s="33">
        <v>0</v>
      </c>
      <c r="T30" s="40">
        <f t="shared" si="6"/>
        <v>0</v>
      </c>
      <c r="U30" s="39">
        <v>-642</v>
      </c>
      <c r="V30" s="45">
        <v>-642</v>
      </c>
      <c r="Y30" s="39">
        <f t="shared" si="5"/>
        <v>12357102.529999999</v>
      </c>
    </row>
    <row r="31" spans="1:25" x14ac:dyDescent="0.25">
      <c r="A31" s="33">
        <v>26</v>
      </c>
      <c r="B31" s="34">
        <v>46266</v>
      </c>
      <c r="C31" s="34">
        <v>46267</v>
      </c>
      <c r="D31" s="35">
        <f t="shared" si="7"/>
        <v>1</v>
      </c>
      <c r="E31" s="33" t="s">
        <v>90</v>
      </c>
      <c r="F31" s="33" t="s">
        <v>715</v>
      </c>
      <c r="G31" s="36" t="s">
        <v>91</v>
      </c>
      <c r="H31" s="33" t="s">
        <v>22</v>
      </c>
      <c r="I31" s="36" t="s">
        <v>664</v>
      </c>
      <c r="J31" s="33" t="s">
        <v>23</v>
      </c>
      <c r="K31" s="33" t="s">
        <v>23</v>
      </c>
      <c r="L31" s="33" t="s">
        <v>90</v>
      </c>
      <c r="M31" s="33">
        <v>400</v>
      </c>
      <c r="N31" s="33">
        <v>331.50700000000001</v>
      </c>
      <c r="O31" s="33">
        <v>334.31</v>
      </c>
      <c r="P31" s="33">
        <v>334.31</v>
      </c>
      <c r="Q31" s="39">
        <v>132602</v>
      </c>
      <c r="R31" s="33">
        <v>6.69</v>
      </c>
      <c r="S31" s="33">
        <v>1</v>
      </c>
      <c r="T31" s="40">
        <f t="shared" si="6"/>
        <v>8.455326735182055E-3</v>
      </c>
      <c r="U31" s="39">
        <v>4108</v>
      </c>
      <c r="V31" s="41">
        <v>4108</v>
      </c>
      <c r="Y31" s="39">
        <f t="shared" si="5"/>
        <v>12489704.529999999</v>
      </c>
    </row>
    <row r="32" spans="1:25" x14ac:dyDescent="0.25">
      <c r="A32" s="33">
        <v>27</v>
      </c>
      <c r="B32" s="34">
        <v>46266</v>
      </c>
      <c r="C32" s="34">
        <v>46283</v>
      </c>
      <c r="D32" s="35">
        <f t="shared" si="7"/>
        <v>17</v>
      </c>
      <c r="E32" s="33" t="s">
        <v>92</v>
      </c>
      <c r="F32" s="33" t="s">
        <v>716</v>
      </c>
      <c r="G32" s="36" t="s">
        <v>93</v>
      </c>
      <c r="H32" s="33" t="s">
        <v>22</v>
      </c>
      <c r="I32" s="36" t="s">
        <v>666</v>
      </c>
      <c r="J32" s="33" t="s">
        <v>23</v>
      </c>
      <c r="K32" s="33" t="s">
        <v>23</v>
      </c>
      <c r="L32" s="33" t="s">
        <v>92</v>
      </c>
      <c r="M32" s="33">
        <v>-8000</v>
      </c>
      <c r="N32" s="33">
        <v>50.59</v>
      </c>
      <c r="O32" s="33">
        <v>49.67</v>
      </c>
      <c r="P32" s="33">
        <v>49.67</v>
      </c>
      <c r="Q32" s="39">
        <v>397331</v>
      </c>
      <c r="R32" s="33">
        <v>45.99</v>
      </c>
      <c r="S32" s="33">
        <v>1</v>
      </c>
      <c r="T32" s="40">
        <f t="shared" si="6"/>
        <v>1.8185412136785959E-2</v>
      </c>
      <c r="U32" s="39">
        <v>7389</v>
      </c>
      <c r="V32" s="41">
        <v>7389</v>
      </c>
      <c r="Y32" s="39">
        <f t="shared" si="5"/>
        <v>12887035.529999999</v>
      </c>
    </row>
    <row r="33" spans="1:25" x14ac:dyDescent="0.25">
      <c r="A33" s="33">
        <v>28</v>
      </c>
      <c r="B33" s="34">
        <v>46274</v>
      </c>
      <c r="C33" s="34">
        <v>46276</v>
      </c>
      <c r="D33" s="35">
        <f t="shared" si="7"/>
        <v>2</v>
      </c>
      <c r="E33" s="33" t="s">
        <v>572</v>
      </c>
      <c r="F33" s="33" t="s">
        <v>717</v>
      </c>
      <c r="G33" s="36" t="s">
        <v>573</v>
      </c>
      <c r="H33" s="33" t="s">
        <v>22</v>
      </c>
      <c r="I33" s="36" t="s">
        <v>665</v>
      </c>
      <c r="J33" s="33" t="s">
        <v>23</v>
      </c>
      <c r="K33" s="33" t="s">
        <v>23</v>
      </c>
      <c r="L33" s="33" t="s">
        <v>572</v>
      </c>
      <c r="M33" s="33">
        <v>13000</v>
      </c>
      <c r="N33" s="33">
        <v>8.6943999999999999</v>
      </c>
      <c r="O33" s="33">
        <v>8.8673000000000002</v>
      </c>
      <c r="P33" s="33">
        <v>8.8673000000000002</v>
      </c>
      <c r="Q33" s="39">
        <v>113028</v>
      </c>
      <c r="R33" s="33">
        <v>105.64</v>
      </c>
      <c r="S33" s="33">
        <v>1</v>
      </c>
      <c r="T33" s="40">
        <f t="shared" si="6"/>
        <v>1.9886363636363667E-2</v>
      </c>
      <c r="U33" s="39">
        <v>2247</v>
      </c>
      <c r="V33" s="41">
        <v>2247</v>
      </c>
      <c r="Y33" s="39">
        <f t="shared" si="5"/>
        <v>13000063.529999999</v>
      </c>
    </row>
    <row r="34" spans="1:25" x14ac:dyDescent="0.25">
      <c r="A34" s="33">
        <v>29</v>
      </c>
      <c r="B34" s="34">
        <v>46274</v>
      </c>
      <c r="C34" s="34">
        <v>46276</v>
      </c>
      <c r="D34" s="35">
        <f t="shared" si="7"/>
        <v>2</v>
      </c>
      <c r="E34" s="33" t="s">
        <v>90</v>
      </c>
      <c r="F34" s="33" t="s">
        <v>715</v>
      </c>
      <c r="G34" s="36" t="s">
        <v>91</v>
      </c>
      <c r="H34" s="33" t="s">
        <v>22</v>
      </c>
      <c r="I34" s="36" t="s">
        <v>664</v>
      </c>
      <c r="J34" s="33" t="s">
        <v>23</v>
      </c>
      <c r="K34" s="33" t="s">
        <v>23</v>
      </c>
      <c r="L34" s="33" t="s">
        <v>90</v>
      </c>
      <c r="M34" s="33">
        <v>400</v>
      </c>
      <c r="N34" s="33">
        <v>318.87</v>
      </c>
      <c r="O34" s="33">
        <v>322</v>
      </c>
      <c r="P34" s="33">
        <v>322</v>
      </c>
      <c r="Q34" s="39">
        <v>127547</v>
      </c>
      <c r="R34" s="33">
        <v>4.71</v>
      </c>
      <c r="S34" s="33">
        <v>1</v>
      </c>
      <c r="T34" s="40">
        <f t="shared" si="6"/>
        <v>9.8159124408065835E-3</v>
      </c>
      <c r="U34" s="39">
        <v>1253</v>
      </c>
      <c r="V34" s="41">
        <v>1253</v>
      </c>
      <c r="Y34" s="39">
        <f t="shared" si="5"/>
        <v>13127610.529999999</v>
      </c>
    </row>
    <row r="35" spans="1:25" x14ac:dyDescent="0.25">
      <c r="A35" s="33">
        <v>30</v>
      </c>
      <c r="B35" s="34">
        <v>46275</v>
      </c>
      <c r="C35" s="34">
        <v>46279</v>
      </c>
      <c r="D35" s="35">
        <f t="shared" si="7"/>
        <v>4</v>
      </c>
      <c r="E35" s="33" t="s">
        <v>574</v>
      </c>
      <c r="F35" s="33" t="s">
        <v>718</v>
      </c>
      <c r="G35" s="36" t="s">
        <v>575</v>
      </c>
      <c r="H35" s="33" t="s">
        <v>22</v>
      </c>
      <c r="I35" s="36" t="s">
        <v>663</v>
      </c>
      <c r="J35" s="33" t="s">
        <v>29</v>
      </c>
      <c r="K35" s="33" t="s">
        <v>525</v>
      </c>
      <c r="L35" s="33" t="s">
        <v>574</v>
      </c>
      <c r="M35" s="33">
        <v>1</v>
      </c>
      <c r="N35" s="33">
        <v>52061.3</v>
      </c>
      <c r="O35" s="33">
        <v>52341</v>
      </c>
      <c r="P35" s="33">
        <v>52341</v>
      </c>
      <c r="Q35" s="39">
        <v>26031</v>
      </c>
      <c r="R35" s="33">
        <v>3.11</v>
      </c>
      <c r="S35" s="33">
        <v>1</v>
      </c>
      <c r="T35" s="40">
        <f t="shared" si="6"/>
        <v>5.3725127878096988E-3</v>
      </c>
      <c r="U35" s="39">
        <v>141</v>
      </c>
      <c r="V35" s="41">
        <v>141</v>
      </c>
      <c r="Y35" s="39">
        <f t="shared" si="5"/>
        <v>13153641.529999999</v>
      </c>
    </row>
    <row r="36" spans="1:25" x14ac:dyDescent="0.25">
      <c r="A36" s="33">
        <v>31</v>
      </c>
      <c r="B36" s="34">
        <v>46275</v>
      </c>
      <c r="C36" s="34">
        <v>46283</v>
      </c>
      <c r="D36" s="35">
        <f t="shared" si="7"/>
        <v>8</v>
      </c>
      <c r="E36" s="33" t="s">
        <v>51</v>
      </c>
      <c r="F36" s="33" t="s">
        <v>699</v>
      </c>
      <c r="G36" s="36" t="s">
        <v>576</v>
      </c>
      <c r="H36" s="33" t="s">
        <v>22</v>
      </c>
      <c r="I36" s="36" t="s">
        <v>662</v>
      </c>
      <c r="J36" s="33" t="s">
        <v>23</v>
      </c>
      <c r="K36" s="33" t="s">
        <v>23</v>
      </c>
      <c r="L36" s="33" t="s">
        <v>51</v>
      </c>
      <c r="M36" s="33">
        <v>-280</v>
      </c>
      <c r="N36" s="33">
        <v>674.59</v>
      </c>
      <c r="O36" s="33">
        <v>688</v>
      </c>
      <c r="P36" s="33">
        <v>688</v>
      </c>
      <c r="Q36" s="39">
        <v>188496</v>
      </c>
      <c r="R36" s="33">
        <v>4.5</v>
      </c>
      <c r="S36" s="33">
        <v>0</v>
      </c>
      <c r="T36" s="40">
        <f t="shared" si="6"/>
        <v>0</v>
      </c>
      <c r="U36" s="39">
        <v>-3825</v>
      </c>
      <c r="V36" s="45">
        <v>-3825</v>
      </c>
      <c r="Y36" s="39">
        <f t="shared" si="5"/>
        <v>13342137.529999999</v>
      </c>
    </row>
    <row r="37" spans="1:25" x14ac:dyDescent="0.25">
      <c r="A37" s="33">
        <v>32</v>
      </c>
      <c r="B37" s="34">
        <v>46275</v>
      </c>
      <c r="C37" s="34">
        <v>46276</v>
      </c>
      <c r="D37" s="35">
        <f t="shared" si="7"/>
        <v>1</v>
      </c>
      <c r="E37" s="33" t="s">
        <v>577</v>
      </c>
      <c r="F37" s="33" t="s">
        <v>719</v>
      </c>
      <c r="G37" s="36" t="s">
        <v>578</v>
      </c>
      <c r="H37" s="33" t="s">
        <v>22</v>
      </c>
      <c r="I37" s="36" t="s">
        <v>661</v>
      </c>
      <c r="J37" s="33" t="s">
        <v>23</v>
      </c>
      <c r="K37" s="33" t="s">
        <v>23</v>
      </c>
      <c r="L37" s="33" t="s">
        <v>577</v>
      </c>
      <c r="M37" s="33">
        <v>250</v>
      </c>
      <c r="N37" s="33">
        <v>113.7</v>
      </c>
      <c r="O37" s="33">
        <v>115.08</v>
      </c>
      <c r="P37" s="33">
        <v>115.08</v>
      </c>
      <c r="Q37" s="39">
        <v>28770</v>
      </c>
      <c r="R37" s="33">
        <v>2.94</v>
      </c>
      <c r="S37" s="33">
        <v>1</v>
      </c>
      <c r="T37" s="40">
        <f t="shared" ref="T37:T40" si="8">IF(S37=1, ABS(O37-N37)/N37, 0)</f>
        <v>1.2137203166226873E-2</v>
      </c>
      <c r="U37" s="39">
        <v>345</v>
      </c>
      <c r="V37" s="41">
        <v>345</v>
      </c>
      <c r="Y37" s="39">
        <f t="shared" si="5"/>
        <v>13370907.529999999</v>
      </c>
    </row>
    <row r="38" spans="1:25" x14ac:dyDescent="0.25">
      <c r="A38" s="33">
        <v>33</v>
      </c>
      <c r="B38" s="34">
        <v>46275</v>
      </c>
      <c r="C38" s="34">
        <v>46276</v>
      </c>
      <c r="D38" s="35">
        <f t="shared" si="7"/>
        <v>1</v>
      </c>
      <c r="E38" s="33" t="s">
        <v>579</v>
      </c>
      <c r="F38" s="33" t="s">
        <v>720</v>
      </c>
      <c r="G38" s="36" t="s">
        <v>580</v>
      </c>
      <c r="H38" s="33" t="s">
        <v>22</v>
      </c>
      <c r="I38" s="36" t="s">
        <v>660</v>
      </c>
      <c r="J38" s="33" t="s">
        <v>29</v>
      </c>
      <c r="K38" s="33" t="s">
        <v>112</v>
      </c>
      <c r="L38" s="33" t="s">
        <v>579</v>
      </c>
      <c r="M38" s="33">
        <v>1</v>
      </c>
      <c r="N38" s="33">
        <v>120.35</v>
      </c>
      <c r="O38" s="33">
        <v>120.57</v>
      </c>
      <c r="P38" s="33">
        <v>120.57</v>
      </c>
      <c r="Q38" s="39">
        <v>120370</v>
      </c>
      <c r="R38" s="33">
        <v>2.2999999999999998</v>
      </c>
      <c r="S38" s="33">
        <v>1</v>
      </c>
      <c r="T38" s="40">
        <f t="shared" si="8"/>
        <v>1.8280016618196831E-3</v>
      </c>
      <c r="U38" s="39">
        <v>220</v>
      </c>
      <c r="V38" s="41">
        <v>220</v>
      </c>
      <c r="Y38" s="39">
        <f t="shared" si="5"/>
        <v>13491277.529999999</v>
      </c>
    </row>
    <row r="39" spans="1:25" x14ac:dyDescent="0.25">
      <c r="A39" s="33">
        <v>34</v>
      </c>
      <c r="B39" s="34">
        <v>46281</v>
      </c>
      <c r="C39" s="34">
        <v>46288</v>
      </c>
      <c r="D39" s="35">
        <f t="shared" si="7"/>
        <v>7</v>
      </c>
      <c r="E39" s="33" t="s">
        <v>582</v>
      </c>
      <c r="F39" s="33" t="s">
        <v>721</v>
      </c>
      <c r="G39" s="36" t="s">
        <v>583</v>
      </c>
      <c r="H39" s="33" t="s">
        <v>22</v>
      </c>
      <c r="I39" s="36" t="s">
        <v>659</v>
      </c>
      <c r="J39" s="33" t="s">
        <v>43</v>
      </c>
      <c r="K39" s="33" t="s">
        <v>43</v>
      </c>
      <c r="L39" s="33" t="s">
        <v>582</v>
      </c>
      <c r="M39" s="33">
        <v>2000</v>
      </c>
      <c r="N39" s="33">
        <v>45.205500000000001</v>
      </c>
      <c r="O39" s="33">
        <v>46.289000000000001</v>
      </c>
      <c r="P39" s="33">
        <v>46.289000000000001</v>
      </c>
      <c r="Q39" s="39">
        <f>ABS(N39*M39)</f>
        <v>90411</v>
      </c>
      <c r="R39" s="33">
        <v>23.76</v>
      </c>
      <c r="S39" s="33">
        <v>1</v>
      </c>
      <c r="T39" s="40">
        <f t="shared" si="8"/>
        <v>2.3968322438641332E-2</v>
      </c>
      <c r="U39" s="39">
        <v>2167</v>
      </c>
      <c r="V39" s="41">
        <v>2167</v>
      </c>
      <c r="Y39" s="39">
        <f t="shared" si="5"/>
        <v>13581688.529999999</v>
      </c>
    </row>
    <row r="40" spans="1:25" x14ac:dyDescent="0.25">
      <c r="A40" s="33">
        <v>35</v>
      </c>
      <c r="B40" s="34">
        <v>46283</v>
      </c>
      <c r="C40" s="34">
        <v>46288</v>
      </c>
      <c r="D40" s="35">
        <f t="shared" si="7"/>
        <v>5</v>
      </c>
      <c r="E40" s="33" t="s">
        <v>584</v>
      </c>
      <c r="F40" s="33" t="s">
        <v>722</v>
      </c>
      <c r="G40" s="36" t="s">
        <v>585</v>
      </c>
      <c r="H40" s="33" t="s">
        <v>22</v>
      </c>
      <c r="I40" s="36" t="s">
        <v>658</v>
      </c>
      <c r="J40" s="33" t="s">
        <v>23</v>
      </c>
      <c r="K40" s="33" t="s">
        <v>23</v>
      </c>
      <c r="L40" s="33" t="s">
        <v>584</v>
      </c>
      <c r="M40" s="33">
        <v>1000</v>
      </c>
      <c r="N40" s="33">
        <v>35.601500000000001</v>
      </c>
      <c r="O40" s="33">
        <v>35.162700000000001</v>
      </c>
      <c r="P40" s="33">
        <v>35.162700000000001</v>
      </c>
      <c r="Q40" s="39">
        <f>ABS(N40*M40)</f>
        <v>35601.5</v>
      </c>
      <c r="R40" s="33">
        <v>7.57</v>
      </c>
      <c r="S40" s="33">
        <v>0</v>
      </c>
      <c r="T40" s="40">
        <f t="shared" si="8"/>
        <v>0</v>
      </c>
      <c r="U40" s="39">
        <v>-438</v>
      </c>
      <c r="V40" s="45">
        <v>-438</v>
      </c>
      <c r="Y40" s="39">
        <f t="shared" si="5"/>
        <v>13617290.029999999</v>
      </c>
    </row>
    <row r="41" spans="1:25" x14ac:dyDescent="0.25">
      <c r="A41" s="33">
        <v>36</v>
      </c>
      <c r="B41" s="34">
        <v>46286</v>
      </c>
      <c r="C41" s="34">
        <v>46288</v>
      </c>
      <c r="D41" s="35">
        <f t="shared" si="7"/>
        <v>2</v>
      </c>
      <c r="E41" s="33" t="s">
        <v>586</v>
      </c>
      <c r="F41" s="33" t="s">
        <v>723</v>
      </c>
      <c r="G41" s="36" t="s">
        <v>587</v>
      </c>
      <c r="H41" s="33" t="s">
        <v>22</v>
      </c>
      <c r="I41" s="36" t="s">
        <v>657</v>
      </c>
      <c r="J41" s="33" t="s">
        <v>23</v>
      </c>
      <c r="K41" s="33" t="s">
        <v>23</v>
      </c>
      <c r="L41" s="33" t="s">
        <v>586</v>
      </c>
      <c r="M41" s="33">
        <v>700</v>
      </c>
      <c r="N41" s="33">
        <v>79.950999999999993</v>
      </c>
      <c r="O41" s="33">
        <v>79.498000000000005</v>
      </c>
      <c r="P41" s="33">
        <v>79.498000000000005</v>
      </c>
      <c r="Q41" s="39">
        <v>55902</v>
      </c>
      <c r="R41" s="33">
        <v>5.63</v>
      </c>
      <c r="S41" s="33">
        <v>0</v>
      </c>
      <c r="T41" s="40">
        <f t="shared" ref="T41:T44" si="9">IF(S41=1, ABS(O41-N41)/N41, 0)</f>
        <v>0</v>
      </c>
      <c r="U41" s="39">
        <v>-317</v>
      </c>
      <c r="V41" s="45">
        <v>-317</v>
      </c>
      <c r="Y41" s="39">
        <f t="shared" si="5"/>
        <v>13673192.029999999</v>
      </c>
    </row>
    <row r="42" spans="1:25" x14ac:dyDescent="0.25">
      <c r="A42" s="33">
        <v>37</v>
      </c>
      <c r="B42" s="34">
        <v>46286</v>
      </c>
      <c r="C42" s="34">
        <v>46288</v>
      </c>
      <c r="D42" s="35">
        <f t="shared" si="7"/>
        <v>2</v>
      </c>
      <c r="E42" s="33" t="s">
        <v>588</v>
      </c>
      <c r="F42" s="33" t="s">
        <v>724</v>
      </c>
      <c r="G42" s="36" t="s">
        <v>589</v>
      </c>
      <c r="H42" s="33" t="s">
        <v>22</v>
      </c>
      <c r="I42" s="36" t="s">
        <v>656</v>
      </c>
      <c r="J42" s="33" t="s">
        <v>23</v>
      </c>
      <c r="K42" s="33" t="s">
        <v>23</v>
      </c>
      <c r="L42" s="33" t="s">
        <v>588</v>
      </c>
      <c r="M42" s="33">
        <v>300</v>
      </c>
      <c r="N42" s="33">
        <v>298.27</v>
      </c>
      <c r="O42" s="33">
        <v>304.00940000000003</v>
      </c>
      <c r="P42" s="33">
        <v>304.00940000000003</v>
      </c>
      <c r="Q42" s="39">
        <f>N42*M42</f>
        <v>89481</v>
      </c>
      <c r="R42" s="33">
        <v>4.5599999999999996</v>
      </c>
      <c r="S42" s="33">
        <v>1</v>
      </c>
      <c r="T42" s="40">
        <f t="shared" si="9"/>
        <v>1.9242297247460509E-2</v>
      </c>
      <c r="U42" s="39">
        <v>1721</v>
      </c>
      <c r="V42" s="41">
        <v>1721</v>
      </c>
      <c r="Y42" s="39">
        <f t="shared" si="5"/>
        <v>13762673.029999999</v>
      </c>
    </row>
    <row r="43" spans="1:25" x14ac:dyDescent="0.25">
      <c r="A43" s="33">
        <v>38</v>
      </c>
      <c r="B43" s="34">
        <v>46286</v>
      </c>
      <c r="C43" s="34">
        <v>46301</v>
      </c>
      <c r="D43" s="35">
        <f t="shared" si="7"/>
        <v>15</v>
      </c>
      <c r="E43" s="33" t="s">
        <v>590</v>
      </c>
      <c r="F43" s="33" t="s">
        <v>725</v>
      </c>
      <c r="G43" s="36" t="s">
        <v>591</v>
      </c>
      <c r="H43" s="33" t="s">
        <v>22</v>
      </c>
      <c r="I43" s="36" t="s">
        <v>655</v>
      </c>
      <c r="J43" s="33" t="s">
        <v>23</v>
      </c>
      <c r="K43" s="33" t="s">
        <v>23</v>
      </c>
      <c r="L43" s="33" t="s">
        <v>590</v>
      </c>
      <c r="M43" s="33">
        <v>-700</v>
      </c>
      <c r="N43" s="33">
        <v>162.33920000000001</v>
      </c>
      <c r="O43" s="33">
        <v>166.36</v>
      </c>
      <c r="P43" s="33">
        <v>166.36</v>
      </c>
      <c r="Q43" s="39">
        <f>ABS(P43*M43)</f>
        <v>116452.00000000001</v>
      </c>
      <c r="R43" s="33">
        <v>11.47</v>
      </c>
      <c r="S43" s="33">
        <v>0</v>
      </c>
      <c r="T43" s="40">
        <f t="shared" si="9"/>
        <v>0</v>
      </c>
      <c r="U43" s="39">
        <v>-2814</v>
      </c>
      <c r="V43" s="45">
        <v>-2814</v>
      </c>
      <c r="Y43" s="39">
        <f t="shared" si="5"/>
        <v>13879125.029999999</v>
      </c>
    </row>
    <row r="44" spans="1:25" x14ac:dyDescent="0.25">
      <c r="A44" s="33">
        <v>39</v>
      </c>
      <c r="B44" s="34">
        <v>46286</v>
      </c>
      <c r="C44" s="34">
        <v>46288</v>
      </c>
      <c r="D44" s="35">
        <f t="shared" si="7"/>
        <v>2</v>
      </c>
      <c r="E44" s="33" t="s">
        <v>592</v>
      </c>
      <c r="F44" s="33" t="s">
        <v>726</v>
      </c>
      <c r="G44" s="36" t="s">
        <v>593</v>
      </c>
      <c r="H44" s="33" t="s">
        <v>22</v>
      </c>
      <c r="I44" s="36" t="s">
        <v>654</v>
      </c>
      <c r="J44" s="33" t="s">
        <v>23</v>
      </c>
      <c r="K44" s="33" t="s">
        <v>23</v>
      </c>
      <c r="L44" s="33" t="s">
        <v>592</v>
      </c>
      <c r="M44" s="33">
        <v>400</v>
      </c>
      <c r="N44" s="33">
        <v>310.77999999999997</v>
      </c>
      <c r="O44" s="33">
        <v>313.61399999999998</v>
      </c>
      <c r="P44" s="33">
        <v>313.61399999999998</v>
      </c>
      <c r="Q44" s="39">
        <f>ABS(N44*M44)</f>
        <v>124311.99999999999</v>
      </c>
      <c r="R44" s="33">
        <v>6.5</v>
      </c>
      <c r="S44" s="33">
        <v>1</v>
      </c>
      <c r="T44" s="40">
        <f t="shared" si="9"/>
        <v>9.1189909260570284E-3</v>
      </c>
      <c r="U44" s="39">
        <v>1134</v>
      </c>
      <c r="V44" s="41">
        <v>1134</v>
      </c>
      <c r="Y44" s="39">
        <f t="shared" si="5"/>
        <v>14003437.029999999</v>
      </c>
    </row>
    <row r="45" spans="1:25" x14ac:dyDescent="0.25">
      <c r="A45" s="33">
        <v>40</v>
      </c>
      <c r="B45" s="34">
        <v>46286</v>
      </c>
      <c r="C45" s="34">
        <v>46286</v>
      </c>
      <c r="D45" s="35">
        <f t="shared" si="7"/>
        <v>0</v>
      </c>
      <c r="E45" s="33" t="s">
        <v>72</v>
      </c>
      <c r="F45" s="33" t="s">
        <v>708</v>
      </c>
      <c r="G45" s="36" t="s">
        <v>594</v>
      </c>
      <c r="H45" s="33" t="s">
        <v>22</v>
      </c>
      <c r="I45" s="36" t="s">
        <v>653</v>
      </c>
      <c r="J45" s="33" t="s">
        <v>29</v>
      </c>
      <c r="K45" s="33" t="s">
        <v>525</v>
      </c>
      <c r="L45" s="33" t="s">
        <v>72</v>
      </c>
      <c r="M45" s="33">
        <v>-4</v>
      </c>
      <c r="N45" s="33">
        <v>7840.75</v>
      </c>
      <c r="O45" s="33">
        <v>7835.5</v>
      </c>
      <c r="P45" s="33">
        <v>7835.5</v>
      </c>
      <c r="Q45" s="39">
        <v>156718</v>
      </c>
      <c r="R45" s="33">
        <v>4.88</v>
      </c>
      <c r="S45" s="33">
        <v>1</v>
      </c>
      <c r="T45" s="40">
        <f t="shared" ref="T45:T48" si="10">IF(S45=1, ABS(O45-N45)/N45, 0)</f>
        <v>6.6957880304817775E-4</v>
      </c>
      <c r="U45" s="39">
        <v>108</v>
      </c>
      <c r="V45" s="41">
        <v>108</v>
      </c>
      <c r="Y45" s="39">
        <f t="shared" si="5"/>
        <v>14160155.029999999</v>
      </c>
    </row>
    <row r="46" spans="1:25" x14ac:dyDescent="0.25">
      <c r="A46" s="33">
        <v>41</v>
      </c>
      <c r="B46" s="34">
        <v>46287</v>
      </c>
      <c r="C46" s="34">
        <v>46288</v>
      </c>
      <c r="D46" s="35">
        <f t="shared" si="7"/>
        <v>1</v>
      </c>
      <c r="E46" s="33" t="s">
        <v>595</v>
      </c>
      <c r="F46" s="33" t="s">
        <v>727</v>
      </c>
      <c r="G46" s="36" t="s">
        <v>596</v>
      </c>
      <c r="H46" s="33" t="s">
        <v>22</v>
      </c>
      <c r="I46" s="36" t="s">
        <v>652</v>
      </c>
      <c r="J46" s="33" t="s">
        <v>23</v>
      </c>
      <c r="K46" s="33" t="s">
        <v>23</v>
      </c>
      <c r="L46" s="33" t="s">
        <v>595</v>
      </c>
      <c r="M46" s="33">
        <v>2000</v>
      </c>
      <c r="N46" s="33">
        <v>18.71</v>
      </c>
      <c r="O46" s="33">
        <v>18.376999999999999</v>
      </c>
      <c r="P46" s="33">
        <v>18.376999999999999</v>
      </c>
      <c r="Q46" s="39">
        <f>ABS(N46*M46)</f>
        <v>37420</v>
      </c>
      <c r="R46" s="33">
        <v>22.69</v>
      </c>
      <c r="S46" s="33">
        <v>0</v>
      </c>
      <c r="T46" s="40">
        <f t="shared" si="10"/>
        <v>0</v>
      </c>
      <c r="U46" s="39">
        <v>-664</v>
      </c>
      <c r="V46" s="45">
        <v>-664</v>
      </c>
      <c r="Y46" s="39">
        <f t="shared" si="5"/>
        <v>14197575.029999999</v>
      </c>
    </row>
    <row r="47" spans="1:25" x14ac:dyDescent="0.25">
      <c r="A47" s="33">
        <v>42</v>
      </c>
      <c r="B47" s="34">
        <v>46288</v>
      </c>
      <c r="C47" s="34">
        <v>46303</v>
      </c>
      <c r="D47" s="35">
        <f t="shared" si="7"/>
        <v>15</v>
      </c>
      <c r="E47" s="33" t="s">
        <v>597</v>
      </c>
      <c r="F47" s="33" t="s">
        <v>728</v>
      </c>
      <c r="G47" s="36" t="s">
        <v>598</v>
      </c>
      <c r="H47" s="33" t="s">
        <v>22</v>
      </c>
      <c r="I47" s="36" t="s">
        <v>651</v>
      </c>
      <c r="J47" s="33" t="s">
        <v>23</v>
      </c>
      <c r="K47" s="33" t="s">
        <v>23</v>
      </c>
      <c r="L47" s="33" t="s">
        <v>597</v>
      </c>
      <c r="M47" s="33">
        <v>-600</v>
      </c>
      <c r="N47" s="33">
        <v>268.09100000000001</v>
      </c>
      <c r="O47" s="33">
        <v>262.3</v>
      </c>
      <c r="P47" s="33">
        <v>262.3</v>
      </c>
      <c r="Q47" s="39">
        <f>ABS(P47*M47)</f>
        <v>157380</v>
      </c>
      <c r="R47" s="33">
        <v>10.1</v>
      </c>
      <c r="S47" s="33">
        <v>1</v>
      </c>
      <c r="T47" s="40">
        <f t="shared" si="10"/>
        <v>2.1600874329984955E-2</v>
      </c>
      <c r="U47" s="39">
        <v>3476</v>
      </c>
      <c r="V47" s="41">
        <v>3476</v>
      </c>
      <c r="Y47" s="39">
        <f t="shared" si="5"/>
        <v>14354955.029999999</v>
      </c>
    </row>
    <row r="48" spans="1:25" x14ac:dyDescent="0.25">
      <c r="A48" s="33">
        <v>43</v>
      </c>
      <c r="B48" s="34">
        <v>46288</v>
      </c>
      <c r="C48" s="34">
        <v>46296</v>
      </c>
      <c r="D48" s="35">
        <f t="shared" si="7"/>
        <v>8</v>
      </c>
      <c r="E48" s="33" t="s">
        <v>53</v>
      </c>
      <c r="F48" s="33" t="s">
        <v>700</v>
      </c>
      <c r="G48" s="36" t="s">
        <v>632</v>
      </c>
      <c r="H48" s="33" t="s">
        <v>22</v>
      </c>
      <c r="I48" s="36" t="s">
        <v>641</v>
      </c>
      <c r="J48" s="33" t="s">
        <v>29</v>
      </c>
      <c r="K48" s="33" t="s">
        <v>523</v>
      </c>
      <c r="L48" s="33" t="s">
        <v>599</v>
      </c>
      <c r="M48" s="33">
        <v>30</v>
      </c>
      <c r="N48" s="33">
        <v>17.652000000000001</v>
      </c>
      <c r="O48" s="33">
        <v>18.277999999999999</v>
      </c>
      <c r="P48" s="33">
        <v>18.277999999999999</v>
      </c>
      <c r="Q48" s="39">
        <f>ABS(N48*M48)*100</f>
        <v>52956.000000000007</v>
      </c>
      <c r="R48" s="33">
        <v>27.6</v>
      </c>
      <c r="S48" s="33">
        <v>1</v>
      </c>
      <c r="T48" s="40">
        <f t="shared" si="10"/>
        <v>3.5463403580330705E-2</v>
      </c>
      <c r="U48" s="39">
        <v>1895</v>
      </c>
      <c r="V48" s="41">
        <v>1895</v>
      </c>
      <c r="Y48" s="39">
        <f t="shared" si="5"/>
        <v>14407911.029999999</v>
      </c>
    </row>
    <row r="49" spans="1:25" x14ac:dyDescent="0.25">
      <c r="A49" s="33">
        <v>44</v>
      </c>
      <c r="B49" s="34">
        <v>46289</v>
      </c>
      <c r="C49" s="34">
        <v>46290</v>
      </c>
      <c r="D49" s="35">
        <f t="shared" si="7"/>
        <v>1</v>
      </c>
      <c r="E49" s="33" t="s">
        <v>600</v>
      </c>
      <c r="F49" s="33" t="s">
        <v>729</v>
      </c>
      <c r="G49" s="36" t="s">
        <v>601</v>
      </c>
      <c r="H49" s="33" t="s">
        <v>22</v>
      </c>
      <c r="I49" s="36" t="s">
        <v>650</v>
      </c>
      <c r="J49" s="33" t="s">
        <v>29</v>
      </c>
      <c r="K49" s="33" t="s">
        <v>116</v>
      </c>
      <c r="L49" s="33" t="s">
        <v>602</v>
      </c>
      <c r="M49" s="33">
        <v>-2</v>
      </c>
      <c r="N49" s="33">
        <v>3.327</v>
      </c>
      <c r="O49" s="33">
        <v>3.26</v>
      </c>
      <c r="P49" s="33">
        <v>3.26</v>
      </c>
      <c r="Q49" s="39">
        <v>16220</v>
      </c>
      <c r="R49" s="33">
        <v>5.44</v>
      </c>
      <c r="S49" s="33">
        <v>1</v>
      </c>
      <c r="T49" s="40">
        <f t="shared" ref="T49:T52" si="11">IF(S49=1, ABS(O49-N49)/N49, 0)</f>
        <v>2.0138262699128395E-2</v>
      </c>
      <c r="U49" s="39">
        <v>338</v>
      </c>
      <c r="V49" s="41">
        <v>338</v>
      </c>
      <c r="Y49" s="39">
        <f t="shared" si="5"/>
        <v>14424131.029999999</v>
      </c>
    </row>
    <row r="50" spans="1:25" x14ac:dyDescent="0.25">
      <c r="A50" s="33">
        <v>45</v>
      </c>
      <c r="B50" s="34">
        <v>46290</v>
      </c>
      <c r="C50" s="34">
        <v>46290</v>
      </c>
      <c r="D50" s="35">
        <f t="shared" si="7"/>
        <v>0</v>
      </c>
      <c r="E50" s="33" t="s">
        <v>604</v>
      </c>
      <c r="F50" s="33" t="s">
        <v>730</v>
      </c>
      <c r="G50" s="36" t="s">
        <v>605</v>
      </c>
      <c r="H50" s="33" t="s">
        <v>22</v>
      </c>
      <c r="I50" s="36" t="s">
        <v>649</v>
      </c>
      <c r="J50" s="33" t="s">
        <v>23</v>
      </c>
      <c r="K50" s="33" t="s">
        <v>23</v>
      </c>
      <c r="L50" s="33" t="s">
        <v>604</v>
      </c>
      <c r="M50" s="33">
        <v>-750</v>
      </c>
      <c r="N50" s="33">
        <v>274.52</v>
      </c>
      <c r="O50" s="33">
        <v>271.52999999999997</v>
      </c>
      <c r="P50" s="33">
        <v>271.52999999999997</v>
      </c>
      <c r="Q50" s="39">
        <v>205889</v>
      </c>
      <c r="R50" s="33">
        <v>10.91</v>
      </c>
      <c r="S50" s="33">
        <v>1</v>
      </c>
      <c r="T50" s="40">
        <f t="shared" si="11"/>
        <v>1.0891738306862922E-2</v>
      </c>
      <c r="U50" s="39">
        <v>2245</v>
      </c>
      <c r="V50" s="41">
        <v>2245</v>
      </c>
      <c r="Y50" s="39">
        <f t="shared" si="5"/>
        <v>14630020.029999999</v>
      </c>
    </row>
    <row r="51" spans="1:25" x14ac:dyDescent="0.25">
      <c r="A51" s="33">
        <v>46</v>
      </c>
      <c r="B51" s="34">
        <v>46293</v>
      </c>
      <c r="C51" s="34">
        <v>46296</v>
      </c>
      <c r="D51" s="35">
        <f t="shared" si="7"/>
        <v>3</v>
      </c>
      <c r="E51" s="33" t="s">
        <v>606</v>
      </c>
      <c r="F51" s="33" t="s">
        <v>731</v>
      </c>
      <c r="G51" s="36" t="s">
        <v>607</v>
      </c>
      <c r="H51" s="33" t="s">
        <v>22</v>
      </c>
      <c r="I51" s="36" t="s">
        <v>648</v>
      </c>
      <c r="J51" s="33" t="s">
        <v>23</v>
      </c>
      <c r="K51" s="33" t="s">
        <v>23</v>
      </c>
      <c r="L51" s="33" t="s">
        <v>606</v>
      </c>
      <c r="M51" s="33">
        <v>700</v>
      </c>
      <c r="N51" s="33">
        <v>84.41</v>
      </c>
      <c r="O51" s="33">
        <v>82.27</v>
      </c>
      <c r="P51" s="33">
        <v>82.27</v>
      </c>
      <c r="Q51" s="39">
        <f t="shared" ref="Q51:Q58" si="12">ABS(N51*M51)</f>
        <v>59087</v>
      </c>
      <c r="R51" s="33">
        <v>9.65</v>
      </c>
      <c r="S51" s="33">
        <v>0</v>
      </c>
      <c r="T51" s="40">
        <f t="shared" si="11"/>
        <v>0</v>
      </c>
      <c r="U51" s="39">
        <v>-1498</v>
      </c>
      <c r="V51" s="45">
        <v>-1498</v>
      </c>
      <c r="Y51" s="39">
        <f t="shared" si="5"/>
        <v>14689107.029999999</v>
      </c>
    </row>
    <row r="52" spans="1:25" x14ac:dyDescent="0.25">
      <c r="A52" s="33">
        <v>47</v>
      </c>
      <c r="B52" s="34">
        <v>46293</v>
      </c>
      <c r="C52" s="34">
        <v>46297</v>
      </c>
      <c r="D52" s="35">
        <f t="shared" si="7"/>
        <v>4</v>
      </c>
      <c r="E52" s="33" t="s">
        <v>608</v>
      </c>
      <c r="F52" s="33" t="s">
        <v>732</v>
      </c>
      <c r="G52" s="36" t="s">
        <v>609</v>
      </c>
      <c r="H52" s="33" t="s">
        <v>22</v>
      </c>
      <c r="I52" s="36" t="s">
        <v>647</v>
      </c>
      <c r="J52" s="33" t="s">
        <v>23</v>
      </c>
      <c r="K52" s="33" t="s">
        <v>23</v>
      </c>
      <c r="L52" s="33" t="s">
        <v>608</v>
      </c>
      <c r="M52" s="33">
        <v>-110</v>
      </c>
      <c r="N52" s="33">
        <v>447.99</v>
      </c>
      <c r="O52" s="33">
        <v>466.29</v>
      </c>
      <c r="P52" s="33">
        <v>466.29</v>
      </c>
      <c r="Q52" s="39">
        <f t="shared" si="12"/>
        <v>49278.9</v>
      </c>
      <c r="R52" s="33">
        <v>2.68</v>
      </c>
      <c r="S52" s="33">
        <v>0</v>
      </c>
      <c r="T52" s="40">
        <f t="shared" si="11"/>
        <v>0</v>
      </c>
      <c r="U52" s="39">
        <v>-2013</v>
      </c>
      <c r="V52" s="45">
        <v>-2013</v>
      </c>
      <c r="Y52" s="39">
        <f t="shared" si="5"/>
        <v>14738385.93</v>
      </c>
    </row>
    <row r="53" spans="1:25" x14ac:dyDescent="0.25">
      <c r="A53" s="33">
        <v>48</v>
      </c>
      <c r="B53" s="34">
        <v>46293</v>
      </c>
      <c r="C53" s="34">
        <v>46295</v>
      </c>
      <c r="D53" s="35">
        <f t="shared" si="7"/>
        <v>2</v>
      </c>
      <c r="E53" s="33" t="s">
        <v>610</v>
      </c>
      <c r="F53" s="33" t="s">
        <v>733</v>
      </c>
      <c r="G53" s="36" t="s">
        <v>611</v>
      </c>
      <c r="H53" s="33" t="s">
        <v>22</v>
      </c>
      <c r="I53" s="36" t="s">
        <v>646</v>
      </c>
      <c r="J53" s="33" t="s">
        <v>23</v>
      </c>
      <c r="K53" s="33" t="s">
        <v>23</v>
      </c>
      <c r="L53" s="33" t="s">
        <v>610</v>
      </c>
      <c r="M53" s="33">
        <v>4000</v>
      </c>
      <c r="N53" s="33">
        <v>20.27</v>
      </c>
      <c r="O53" s="33">
        <v>20.21</v>
      </c>
      <c r="P53" s="33">
        <v>20.21</v>
      </c>
      <c r="Q53" s="39">
        <f t="shared" si="12"/>
        <v>81080</v>
      </c>
      <c r="R53" s="33">
        <v>5.4</v>
      </c>
      <c r="S53" s="33">
        <v>0</v>
      </c>
      <c r="T53" s="40">
        <f t="shared" ref="T53:T55" si="13">IF(S53=1, ABS(O53-N53)/N53, 0)</f>
        <v>0</v>
      </c>
      <c r="U53" s="39">
        <v>-214</v>
      </c>
      <c r="V53" s="45">
        <v>-214</v>
      </c>
      <c r="Y53" s="39">
        <f t="shared" si="5"/>
        <v>14819465.93</v>
      </c>
    </row>
    <row r="54" spans="1:25" x14ac:dyDescent="0.25">
      <c r="A54" s="33">
        <v>49</v>
      </c>
      <c r="B54" s="34">
        <v>46294</v>
      </c>
      <c r="C54" s="34">
        <v>46301</v>
      </c>
      <c r="D54" s="35">
        <f t="shared" si="7"/>
        <v>7</v>
      </c>
      <c r="E54" s="33" t="s">
        <v>612</v>
      </c>
      <c r="F54" s="33" t="s">
        <v>734</v>
      </c>
      <c r="G54" s="36" t="s">
        <v>613</v>
      </c>
      <c r="H54" s="33" t="s">
        <v>28</v>
      </c>
      <c r="I54" s="36" t="s">
        <v>645</v>
      </c>
      <c r="J54" s="33" t="s">
        <v>43</v>
      </c>
      <c r="K54" s="33" t="s">
        <v>43</v>
      </c>
      <c r="L54" s="33" t="s">
        <v>612</v>
      </c>
      <c r="M54" s="33">
        <v>400</v>
      </c>
      <c r="N54" s="33">
        <v>281.4135</v>
      </c>
      <c r="O54" s="33">
        <v>282.18</v>
      </c>
      <c r="P54" s="33">
        <v>282.18</v>
      </c>
      <c r="Q54" s="39">
        <f t="shared" si="12"/>
        <v>112565.4</v>
      </c>
      <c r="R54" s="33">
        <v>7.57</v>
      </c>
      <c r="S54" s="33">
        <v>1</v>
      </c>
      <c r="T54" s="40">
        <f t="shared" si="13"/>
        <v>2.7237499267093006E-3</v>
      </c>
      <c r="U54" s="39">
        <v>307</v>
      </c>
      <c r="V54" s="41">
        <v>307</v>
      </c>
      <c r="Y54" s="39">
        <f t="shared" si="5"/>
        <v>14932031.33</v>
      </c>
    </row>
    <row r="55" spans="1:25" x14ac:dyDescent="0.25">
      <c r="A55" s="33">
        <v>49</v>
      </c>
      <c r="B55" s="34">
        <v>46294</v>
      </c>
      <c r="C55" s="34">
        <v>46301</v>
      </c>
      <c r="D55" s="35">
        <f t="shared" si="7"/>
        <v>7</v>
      </c>
      <c r="E55" s="33" t="s">
        <v>614</v>
      </c>
      <c r="F55" s="33" t="s">
        <v>735</v>
      </c>
      <c r="G55" s="36" t="s">
        <v>615</v>
      </c>
      <c r="H55" s="33" t="s">
        <v>28</v>
      </c>
      <c r="I55" s="36" t="s">
        <v>645</v>
      </c>
      <c r="J55" s="33" t="s">
        <v>43</v>
      </c>
      <c r="K55" s="33" t="s">
        <v>43</v>
      </c>
      <c r="L55" s="33" t="s">
        <v>614</v>
      </c>
      <c r="M55" s="33">
        <v>-140</v>
      </c>
      <c r="N55" s="33">
        <v>767.82</v>
      </c>
      <c r="O55" s="33">
        <v>779.63</v>
      </c>
      <c r="P55" s="33">
        <v>779.63</v>
      </c>
      <c r="Q55" s="39">
        <f t="shared" si="12"/>
        <v>107494.8</v>
      </c>
      <c r="R55" s="33">
        <v>4.0199999999999996</v>
      </c>
      <c r="S55" s="33">
        <v>0</v>
      </c>
      <c r="T55" s="40">
        <f t="shared" si="13"/>
        <v>0</v>
      </c>
      <c r="U55" s="39">
        <v>-1653</v>
      </c>
      <c r="V55" s="45">
        <v>-1653</v>
      </c>
      <c r="Y55" s="39">
        <f t="shared" si="5"/>
        <v>15039526.130000001</v>
      </c>
    </row>
    <row r="56" spans="1:25" x14ac:dyDescent="0.25">
      <c r="A56" s="33">
        <v>50</v>
      </c>
      <c r="B56" s="34">
        <v>46295</v>
      </c>
      <c r="C56" s="34">
        <v>46296</v>
      </c>
      <c r="D56" s="35">
        <f t="shared" si="7"/>
        <v>1</v>
      </c>
      <c r="E56" s="33" t="s">
        <v>616</v>
      </c>
      <c r="F56" s="33" t="s">
        <v>736</v>
      </c>
      <c r="G56" s="36" t="s">
        <v>617</v>
      </c>
      <c r="H56" s="33" t="s">
        <v>22</v>
      </c>
      <c r="I56" s="36" t="s">
        <v>644</v>
      </c>
      <c r="J56" s="33" t="s">
        <v>23</v>
      </c>
      <c r="K56" s="33" t="s">
        <v>23</v>
      </c>
      <c r="L56" s="33" t="s">
        <v>616</v>
      </c>
      <c r="M56" s="33">
        <v>-100</v>
      </c>
      <c r="N56" s="33">
        <v>447</v>
      </c>
      <c r="O56" s="33">
        <v>434.77</v>
      </c>
      <c r="P56" s="33">
        <v>434.77</v>
      </c>
      <c r="Q56" s="39">
        <f t="shared" si="12"/>
        <v>44700</v>
      </c>
      <c r="R56" s="33">
        <v>1.9</v>
      </c>
      <c r="S56" s="33">
        <v>1</v>
      </c>
      <c r="T56" s="40">
        <f t="shared" ref="T56:T63" si="14">IF(S56=1, ABS(O56-N56)/N56, 0)</f>
        <v>2.7360178970917266E-2</v>
      </c>
      <c r="U56" s="39">
        <v>1222</v>
      </c>
      <c r="V56" s="41">
        <v>1222</v>
      </c>
      <c r="Y56" s="39">
        <f t="shared" si="5"/>
        <v>15084226.130000001</v>
      </c>
    </row>
    <row r="57" spans="1:25" x14ac:dyDescent="0.25">
      <c r="A57" s="33">
        <v>51</v>
      </c>
      <c r="B57" s="34">
        <v>46295</v>
      </c>
      <c r="C57" s="34">
        <v>46296</v>
      </c>
      <c r="D57" s="35">
        <f t="shared" si="7"/>
        <v>1</v>
      </c>
      <c r="E57" s="33" t="s">
        <v>618</v>
      </c>
      <c r="F57" s="33" t="s">
        <v>737</v>
      </c>
      <c r="G57" s="36" t="s">
        <v>619</v>
      </c>
      <c r="H57" s="33" t="s">
        <v>22</v>
      </c>
      <c r="I57" s="36" t="s">
        <v>643</v>
      </c>
      <c r="J57" s="33" t="s">
        <v>23</v>
      </c>
      <c r="K57" s="33" t="s">
        <v>23</v>
      </c>
      <c r="L57" s="33" t="s">
        <v>618</v>
      </c>
      <c r="M57" s="33">
        <v>-100</v>
      </c>
      <c r="N57" s="33">
        <v>674.15</v>
      </c>
      <c r="O57" s="33">
        <v>666.83</v>
      </c>
      <c r="P57" s="33">
        <v>666.83</v>
      </c>
      <c r="Q57" s="39">
        <f t="shared" si="12"/>
        <v>67415</v>
      </c>
      <c r="R57" s="33">
        <v>3.25</v>
      </c>
      <c r="S57" s="33">
        <v>1</v>
      </c>
      <c r="T57" s="40">
        <f t="shared" si="14"/>
        <v>1.0858117629607559E-2</v>
      </c>
      <c r="U57" s="39">
        <v>880</v>
      </c>
      <c r="V57" s="41">
        <v>880</v>
      </c>
      <c r="Y57" s="39">
        <f t="shared" si="5"/>
        <v>15151641.130000001</v>
      </c>
    </row>
    <row r="58" spans="1:25" x14ac:dyDescent="0.25">
      <c r="A58" s="33">
        <v>52</v>
      </c>
      <c r="B58" s="34">
        <v>46296</v>
      </c>
      <c r="C58" s="34">
        <v>46296</v>
      </c>
      <c r="D58" s="35">
        <f t="shared" si="7"/>
        <v>0</v>
      </c>
      <c r="E58" s="33" t="s">
        <v>24</v>
      </c>
      <c r="F58" s="33" t="s">
        <v>690</v>
      </c>
      <c r="G58" s="36" t="s">
        <v>25</v>
      </c>
      <c r="H58" s="33" t="s">
        <v>22</v>
      </c>
      <c r="I58" s="36" t="s">
        <v>642</v>
      </c>
      <c r="J58" s="33" t="s">
        <v>23</v>
      </c>
      <c r="K58" s="33" t="s">
        <v>23</v>
      </c>
      <c r="L58" s="33" t="s">
        <v>24</v>
      </c>
      <c r="M58" s="33">
        <v>200</v>
      </c>
      <c r="N58" s="33">
        <v>326.27999999999997</v>
      </c>
      <c r="O58" s="33">
        <v>332.03</v>
      </c>
      <c r="P58" s="33">
        <v>332.03</v>
      </c>
      <c r="Q58" s="39">
        <f t="shared" si="12"/>
        <v>65255.999999999993</v>
      </c>
      <c r="R58" s="33">
        <v>2.59</v>
      </c>
      <c r="S58" s="33">
        <v>1</v>
      </c>
      <c r="T58" s="40">
        <f t="shared" si="14"/>
        <v>1.762290057619223E-2</v>
      </c>
      <c r="U58" s="39">
        <v>1058</v>
      </c>
      <c r="V58" s="41">
        <v>1058</v>
      </c>
      <c r="Y58" s="39">
        <f t="shared" si="5"/>
        <v>15216897.130000001</v>
      </c>
    </row>
    <row r="59" spans="1:25" x14ac:dyDescent="0.25">
      <c r="A59" s="33">
        <v>53</v>
      </c>
      <c r="B59" s="34">
        <v>46297</v>
      </c>
      <c r="C59" s="34">
        <v>46310</v>
      </c>
      <c r="D59" s="35">
        <f t="shared" si="7"/>
        <v>13</v>
      </c>
      <c r="E59" s="33" t="s">
        <v>53</v>
      </c>
      <c r="F59" s="33" t="s">
        <v>700</v>
      </c>
      <c r="G59" s="36" t="s">
        <v>632</v>
      </c>
      <c r="H59" s="33" t="s">
        <v>22</v>
      </c>
      <c r="I59" s="36" t="s">
        <v>641</v>
      </c>
      <c r="J59" s="33" t="s">
        <v>29</v>
      </c>
      <c r="K59" s="33" t="s">
        <v>523</v>
      </c>
      <c r="L59" s="33" t="s">
        <v>599</v>
      </c>
      <c r="M59" s="33">
        <v>15</v>
      </c>
      <c r="N59" s="33">
        <v>17.533999999999999</v>
      </c>
      <c r="O59" s="33">
        <v>17.913</v>
      </c>
      <c r="P59" s="33">
        <v>17.913</v>
      </c>
      <c r="Q59" s="39">
        <v>26870</v>
      </c>
      <c r="R59" s="33">
        <v>6.9</v>
      </c>
      <c r="S59" s="33">
        <v>1</v>
      </c>
      <c r="T59" s="40">
        <f t="shared" si="14"/>
        <v>2.1615147713014791E-2</v>
      </c>
      <c r="U59" s="39">
        <f>(26870-17905-8396)</f>
        <v>569</v>
      </c>
      <c r="V59" s="41">
        <v>569</v>
      </c>
      <c r="Y59" s="39">
        <f t="shared" si="5"/>
        <v>15243767.130000001</v>
      </c>
    </row>
    <row r="60" spans="1:25" x14ac:dyDescent="0.25">
      <c r="A60" s="33">
        <v>54</v>
      </c>
      <c r="B60" s="34">
        <v>46299</v>
      </c>
      <c r="C60" s="34">
        <v>46300</v>
      </c>
      <c r="D60" s="35">
        <f t="shared" si="7"/>
        <v>1</v>
      </c>
      <c r="E60" s="33" t="s">
        <v>31</v>
      </c>
      <c r="F60" s="33" t="s">
        <v>692</v>
      </c>
      <c r="G60" s="36" t="s">
        <v>32</v>
      </c>
      <c r="H60" s="33" t="s">
        <v>22</v>
      </c>
      <c r="I60" s="36" t="s">
        <v>640</v>
      </c>
      <c r="J60" s="33" t="s">
        <v>29</v>
      </c>
      <c r="K60" s="33" t="s">
        <v>521</v>
      </c>
      <c r="L60" s="33" t="s">
        <v>620</v>
      </c>
      <c r="M60" s="33">
        <v>10</v>
      </c>
      <c r="N60" s="33">
        <v>1.1225000000000001</v>
      </c>
      <c r="O60" s="33">
        <v>1.1251</v>
      </c>
      <c r="P60" s="33">
        <v>1.1251</v>
      </c>
      <c r="Q60" s="39">
        <f>1406000*1.121</f>
        <v>1576126</v>
      </c>
      <c r="R60" s="33">
        <v>42.5</v>
      </c>
      <c r="S60" s="33">
        <v>1</v>
      </c>
      <c r="T60" s="40">
        <f t="shared" si="14"/>
        <v>2.3162583518930384E-3</v>
      </c>
      <c r="U60" s="39">
        <v>925</v>
      </c>
      <c r="V60" s="41">
        <v>925</v>
      </c>
      <c r="Y60" s="39">
        <f t="shared" si="5"/>
        <v>16819893.130000003</v>
      </c>
    </row>
    <row r="61" spans="1:25" x14ac:dyDescent="0.25">
      <c r="A61" s="33">
        <v>55</v>
      </c>
      <c r="B61" s="34">
        <v>46302</v>
      </c>
      <c r="C61" s="34">
        <v>46302</v>
      </c>
      <c r="D61" s="35">
        <f t="shared" si="7"/>
        <v>0</v>
      </c>
      <c r="E61" s="33" t="s">
        <v>31</v>
      </c>
      <c r="F61" s="33" t="s">
        <v>692</v>
      </c>
      <c r="G61" s="36" t="s">
        <v>32</v>
      </c>
      <c r="H61" s="33" t="s">
        <v>22</v>
      </c>
      <c r="I61" s="36" t="s">
        <v>640</v>
      </c>
      <c r="J61" s="33" t="s">
        <v>29</v>
      </c>
      <c r="K61" s="33" t="s">
        <v>521</v>
      </c>
      <c r="L61" s="33" t="s">
        <v>620</v>
      </c>
      <c r="M61" s="33">
        <v>15</v>
      </c>
      <c r="N61" s="33">
        <v>1.1217200000000001</v>
      </c>
      <c r="O61" s="33">
        <v>1.12226</v>
      </c>
      <c r="P61" s="33">
        <v>1.12226</v>
      </c>
      <c r="Q61" s="39">
        <f>M61*125000*1.121</f>
        <v>2101875</v>
      </c>
      <c r="R61" s="33">
        <v>73.8</v>
      </c>
      <c r="S61" s="33">
        <v>1</v>
      </c>
      <c r="T61" s="40">
        <f t="shared" si="14"/>
        <v>4.8140355882036952E-4</v>
      </c>
      <c r="U61" s="39">
        <v>1013</v>
      </c>
      <c r="V61" s="41">
        <v>1013</v>
      </c>
      <c r="Y61" s="39">
        <f t="shared" si="5"/>
        <v>18921768.130000003</v>
      </c>
    </row>
    <row r="62" spans="1:25" x14ac:dyDescent="0.25">
      <c r="A62" s="33">
        <v>56</v>
      </c>
      <c r="B62" s="34">
        <v>46303</v>
      </c>
      <c r="C62" s="34">
        <v>46310</v>
      </c>
      <c r="D62" s="35">
        <f t="shared" si="7"/>
        <v>7</v>
      </c>
      <c r="E62" s="33" t="s">
        <v>80</v>
      </c>
      <c r="F62" s="33" t="s">
        <v>697</v>
      </c>
      <c r="G62" s="36" t="s">
        <v>47</v>
      </c>
      <c r="H62" s="33" t="s">
        <v>28</v>
      </c>
      <c r="I62" s="36" t="s">
        <v>639</v>
      </c>
      <c r="J62" s="33" t="s">
        <v>29</v>
      </c>
      <c r="K62" s="33" t="s">
        <v>114</v>
      </c>
      <c r="L62" s="33" t="s">
        <v>81</v>
      </c>
      <c r="M62" s="33">
        <v>5</v>
      </c>
      <c r="N62" s="33">
        <v>4155.68</v>
      </c>
      <c r="O62" s="33">
        <v>4185.5200000000004</v>
      </c>
      <c r="P62" s="33">
        <v>4185.5200000000004</v>
      </c>
      <c r="Q62" s="39">
        <f>M62*P62*10</f>
        <v>209276.00000000003</v>
      </c>
      <c r="R62" s="33">
        <v>9.6</v>
      </c>
      <c r="S62" s="33">
        <v>1</v>
      </c>
      <c r="T62" s="40">
        <f t="shared" si="14"/>
        <v>7.1805336310784623E-3</v>
      </c>
      <c r="U62" s="39">
        <v>1492</v>
      </c>
      <c r="V62" s="41">
        <v>1492</v>
      </c>
      <c r="Y62" s="39">
        <f t="shared" si="5"/>
        <v>19131044.130000003</v>
      </c>
    </row>
    <row r="63" spans="1:25" x14ac:dyDescent="0.25">
      <c r="A63" s="33">
        <v>56</v>
      </c>
      <c r="B63" s="34">
        <v>46303</v>
      </c>
      <c r="C63" s="34">
        <v>46310</v>
      </c>
      <c r="D63" s="35">
        <f t="shared" ref="D63:D66" si="15">C63-B63</f>
        <v>7</v>
      </c>
      <c r="E63" s="33" t="s">
        <v>621</v>
      </c>
      <c r="F63" s="33" t="s">
        <v>738</v>
      </c>
      <c r="G63" s="36" t="s">
        <v>622</v>
      </c>
      <c r="H63" s="33" t="s">
        <v>28</v>
      </c>
      <c r="I63" s="36" t="s">
        <v>639</v>
      </c>
      <c r="J63" s="33" t="s">
        <v>29</v>
      </c>
      <c r="K63" s="33" t="s">
        <v>114</v>
      </c>
      <c r="L63" s="33" t="s">
        <v>623</v>
      </c>
      <c r="M63" s="33">
        <v>-14</v>
      </c>
      <c r="N63" s="33">
        <v>6.6361999999999997</v>
      </c>
      <c r="O63" s="33">
        <v>6.5984999999999996</v>
      </c>
      <c r="P63" s="33">
        <v>6.5984999999999996</v>
      </c>
      <c r="Q63" s="39">
        <v>232267</v>
      </c>
      <c r="R63" s="33">
        <v>26.88</v>
      </c>
      <c r="S63" s="33">
        <v>1</v>
      </c>
      <c r="T63" s="40">
        <f t="shared" si="14"/>
        <v>5.6809619963232071E-3</v>
      </c>
      <c r="U63" s="39">
        <v>1318</v>
      </c>
      <c r="V63" s="41">
        <v>1318</v>
      </c>
      <c r="Y63" s="39">
        <f t="shared" si="5"/>
        <v>19363311.130000003</v>
      </c>
    </row>
    <row r="64" spans="1:25" x14ac:dyDescent="0.25">
      <c r="A64" s="33">
        <v>57</v>
      </c>
      <c r="B64" s="34">
        <v>46310</v>
      </c>
      <c r="C64" s="54">
        <v>46314</v>
      </c>
      <c r="D64" s="55">
        <f t="shared" si="15"/>
        <v>4</v>
      </c>
      <c r="E64" s="47" t="s">
        <v>624</v>
      </c>
      <c r="F64" s="47" t="s">
        <v>739</v>
      </c>
      <c r="G64" s="48" t="s">
        <v>625</v>
      </c>
      <c r="H64" s="47" t="s">
        <v>22</v>
      </c>
      <c r="I64" s="48" t="s">
        <v>638</v>
      </c>
      <c r="J64" s="47" t="s">
        <v>23</v>
      </c>
      <c r="K64" s="47" t="s">
        <v>23</v>
      </c>
      <c r="L64" s="47" t="s">
        <v>624</v>
      </c>
      <c r="M64" s="47">
        <v>1220</v>
      </c>
      <c r="N64" s="47">
        <v>7.74</v>
      </c>
      <c r="O64" s="47" t="s">
        <v>66</v>
      </c>
      <c r="P64" s="47">
        <v>7.89</v>
      </c>
      <c r="Q64" s="49">
        <v>4984</v>
      </c>
      <c r="R64" s="47">
        <v>1.01</v>
      </c>
      <c r="S64" s="47" t="s">
        <v>66</v>
      </c>
      <c r="T64" s="47" t="s">
        <v>66</v>
      </c>
      <c r="U64" s="47" t="s">
        <v>66</v>
      </c>
      <c r="V64" s="47" t="s">
        <v>66</v>
      </c>
      <c r="W64" s="33">
        <v>206</v>
      </c>
      <c r="Y64" s="39">
        <f t="shared" si="5"/>
        <v>19368295.130000003</v>
      </c>
    </row>
    <row r="65" spans="1:26" x14ac:dyDescent="0.25">
      <c r="A65" s="33">
        <v>58</v>
      </c>
      <c r="B65" s="34">
        <v>46310</v>
      </c>
      <c r="C65" s="54">
        <v>46314</v>
      </c>
      <c r="D65" s="55">
        <f t="shared" si="15"/>
        <v>4</v>
      </c>
      <c r="E65" s="47" t="s">
        <v>626</v>
      </c>
      <c r="F65" s="47" t="s">
        <v>740</v>
      </c>
      <c r="G65" s="48" t="s">
        <v>627</v>
      </c>
      <c r="H65" s="47" t="s">
        <v>22</v>
      </c>
      <c r="I65" s="48" t="s">
        <v>637</v>
      </c>
      <c r="J65" s="47" t="s">
        <v>23</v>
      </c>
      <c r="K65" s="47" t="s">
        <v>23</v>
      </c>
      <c r="L65" s="47" t="s">
        <v>626</v>
      </c>
      <c r="M65" s="47">
        <v>-504</v>
      </c>
      <c r="N65" s="47">
        <v>28.216999999999999</v>
      </c>
      <c r="O65" s="47" t="s">
        <v>66</v>
      </c>
      <c r="P65" s="47">
        <v>27.5</v>
      </c>
      <c r="Q65" s="49">
        <v>14041</v>
      </c>
      <c r="R65" s="47">
        <v>2.33</v>
      </c>
      <c r="S65" s="47" t="s">
        <v>66</v>
      </c>
      <c r="T65" s="47" t="s">
        <v>66</v>
      </c>
      <c r="U65" s="47" t="s">
        <v>66</v>
      </c>
      <c r="V65" s="47" t="s">
        <v>66</v>
      </c>
      <c r="W65" s="33">
        <v>534</v>
      </c>
      <c r="Y65" s="39">
        <f t="shared" si="5"/>
        <v>19382336.130000003</v>
      </c>
    </row>
    <row r="66" spans="1:26" x14ac:dyDescent="0.25">
      <c r="A66" s="33">
        <v>59</v>
      </c>
      <c r="B66" s="34">
        <v>46310</v>
      </c>
      <c r="C66" s="34">
        <v>46314</v>
      </c>
      <c r="D66" s="35">
        <f t="shared" si="15"/>
        <v>4</v>
      </c>
      <c r="E66" s="33" t="s">
        <v>628</v>
      </c>
      <c r="F66" s="33" t="s">
        <v>741</v>
      </c>
      <c r="G66" s="36" t="s">
        <v>629</v>
      </c>
      <c r="H66" s="33" t="s">
        <v>22</v>
      </c>
      <c r="I66" s="36" t="s">
        <v>636</v>
      </c>
      <c r="J66" s="33" t="s">
        <v>23</v>
      </c>
      <c r="K66" s="33" t="s">
        <v>23</v>
      </c>
      <c r="L66" s="33" t="s">
        <v>628</v>
      </c>
      <c r="M66" s="33">
        <v>-1956</v>
      </c>
      <c r="N66" s="33">
        <v>46.65</v>
      </c>
      <c r="O66" s="33">
        <v>46.613</v>
      </c>
      <c r="P66" s="33">
        <v>46.613</v>
      </c>
      <c r="Q66" s="39">
        <v>90954</v>
      </c>
      <c r="R66" s="33">
        <v>23.41</v>
      </c>
      <c r="S66" s="33">
        <v>1</v>
      </c>
      <c r="T66" s="40">
        <f t="shared" ref="T66" si="16">IF(S66=1, ABS(O66-N66)/N66, 0)</f>
        <v>7.9314040728829653E-4</v>
      </c>
      <c r="U66" s="33">
        <v>95</v>
      </c>
      <c r="V66" s="41">
        <v>95</v>
      </c>
      <c r="Y66" s="39">
        <f t="shared" si="5"/>
        <v>19473290.130000003</v>
      </c>
    </row>
    <row r="67" spans="1:26" x14ac:dyDescent="0.25">
      <c r="A67" s="33">
        <v>60</v>
      </c>
      <c r="B67" s="34">
        <v>46310</v>
      </c>
      <c r="C67" s="34">
        <v>46314</v>
      </c>
      <c r="D67" s="35">
        <f t="shared" ref="D67:D68" si="17">C67-B67</f>
        <v>4</v>
      </c>
      <c r="E67" s="33" t="s">
        <v>630</v>
      </c>
      <c r="F67" s="33" t="s">
        <v>742</v>
      </c>
      <c r="G67" s="36" t="s">
        <v>631</v>
      </c>
      <c r="H67" s="33" t="s">
        <v>22</v>
      </c>
      <c r="I67" s="36" t="s">
        <v>635</v>
      </c>
      <c r="J67" s="33" t="s">
        <v>23</v>
      </c>
      <c r="K67" s="33" t="s">
        <v>23</v>
      </c>
      <c r="L67" s="33" t="s">
        <v>630</v>
      </c>
      <c r="M67" s="33">
        <v>-700</v>
      </c>
      <c r="N67" s="33">
        <v>388.43</v>
      </c>
      <c r="O67" s="33">
        <v>386.34</v>
      </c>
      <c r="P67" s="33">
        <v>386.34</v>
      </c>
      <c r="Q67" s="39">
        <v>271913</v>
      </c>
      <c r="R67" s="33">
        <v>10.98</v>
      </c>
      <c r="S67" s="33">
        <v>1</v>
      </c>
      <c r="T67" s="40">
        <f t="shared" ref="T67" si="18">IF(S67=1, ABS(O67-N67)/N67, 0)</f>
        <v>5.3806348634246369E-3</v>
      </c>
      <c r="U67" s="33">
        <v>1470</v>
      </c>
      <c r="V67" s="41">
        <v>1470</v>
      </c>
      <c r="Y67" s="39">
        <f t="shared" si="5"/>
        <v>19745203.130000003</v>
      </c>
    </row>
    <row r="68" spans="1:26" x14ac:dyDescent="0.25">
      <c r="A68" s="33">
        <v>61</v>
      </c>
      <c r="B68" s="34">
        <v>46314</v>
      </c>
      <c r="C68" s="54">
        <v>46314</v>
      </c>
      <c r="D68" s="55">
        <f t="shared" si="17"/>
        <v>0</v>
      </c>
      <c r="E68" s="47" t="s">
        <v>746</v>
      </c>
      <c r="F68" s="47" t="s">
        <v>747</v>
      </c>
      <c r="G68" s="48" t="s">
        <v>748</v>
      </c>
      <c r="H68" s="47" t="s">
        <v>22</v>
      </c>
      <c r="I68" s="48" t="s">
        <v>749</v>
      </c>
      <c r="J68" s="47" t="s">
        <v>23</v>
      </c>
      <c r="K68" s="47" t="s">
        <v>23</v>
      </c>
      <c r="L68" s="47" t="s">
        <v>746</v>
      </c>
      <c r="M68" s="47">
        <v>-330</v>
      </c>
      <c r="N68" s="47">
        <v>47.295999999999999</v>
      </c>
      <c r="O68" s="47" t="s">
        <v>66</v>
      </c>
      <c r="P68" s="47">
        <v>46.8</v>
      </c>
      <c r="Q68" s="49">
        <v>15431</v>
      </c>
      <c r="R68" s="47">
        <v>2.12</v>
      </c>
      <c r="S68" s="47" t="s">
        <v>66</v>
      </c>
      <c r="T68" s="56" t="s">
        <v>66</v>
      </c>
      <c r="U68" s="47" t="s">
        <v>66</v>
      </c>
      <c r="V68" s="47" t="s">
        <v>66</v>
      </c>
      <c r="W68" s="33">
        <v>177</v>
      </c>
      <c r="Y68" s="39">
        <f t="shared" si="5"/>
        <v>19760634.130000003</v>
      </c>
      <c r="Z68" s="58">
        <f>Y68/424000</f>
        <v>46.60526917452831</v>
      </c>
    </row>
    <row r="69" spans="1:26" x14ac:dyDescent="0.25">
      <c r="B69" s="34"/>
      <c r="C69" s="34"/>
      <c r="D69" s="35"/>
      <c r="G69" s="36"/>
      <c r="I69" s="36"/>
      <c r="Q69" s="39"/>
      <c r="T69" s="40"/>
      <c r="U69" s="39"/>
      <c r="V69" s="41"/>
      <c r="Y69" s="39"/>
    </row>
    <row r="70" spans="1:26" x14ac:dyDescent="0.25">
      <c r="G70" s="36"/>
      <c r="I70" s="36"/>
    </row>
    <row r="71" spans="1:26" x14ac:dyDescent="0.25">
      <c r="D71" s="51" t="s">
        <v>94</v>
      </c>
      <c r="E71" s="46">
        <f>AVERAGE(D2:D63)</f>
        <v>6.4838709677419351</v>
      </c>
      <c r="F71" s="46"/>
      <c r="G71" s="36"/>
      <c r="I71" s="36"/>
      <c r="V71" s="39">
        <f>SUM(V2:V69)</f>
        <v>89567.47</v>
      </c>
      <c r="W71" s="39">
        <f>SUM(W2:W69)</f>
        <v>917</v>
      </c>
      <c r="X71" s="39">
        <f>SUM(X2:X69)</f>
        <v>0</v>
      </c>
      <c r="Y71" s="39"/>
    </row>
    <row r="72" spans="1:26" x14ac:dyDescent="0.25">
      <c r="D72" s="51" t="s">
        <v>95</v>
      </c>
      <c r="E72" s="46">
        <f>AVERAGE(D2:D11,D13,D15:D63)</f>
        <v>4.7666666666666666</v>
      </c>
      <c r="F72" s="46"/>
      <c r="G72" s="36"/>
      <c r="V72" s="52" t="s">
        <v>96</v>
      </c>
      <c r="W72" s="36" t="s">
        <v>97</v>
      </c>
    </row>
    <row r="73" spans="1:26" x14ac:dyDescent="0.25">
      <c r="G73" s="36"/>
      <c r="V73" s="33" t="s">
        <v>98</v>
      </c>
    </row>
    <row r="74" spans="1:26" x14ac:dyDescent="0.25">
      <c r="G74" s="36"/>
      <c r="V74" s="39">
        <f>V71+W71</f>
        <v>90484.47</v>
      </c>
    </row>
    <row r="75" spans="1:26" x14ac:dyDescent="0.25">
      <c r="G75" s="36"/>
    </row>
    <row r="76" spans="1:26" x14ac:dyDescent="0.25">
      <c r="G76" s="36"/>
      <c r="V76" s="36" t="s">
        <v>99</v>
      </c>
    </row>
    <row r="77" spans="1:26" x14ac:dyDescent="0.25">
      <c r="G77" s="36"/>
      <c r="V77" s="39">
        <v>333000</v>
      </c>
    </row>
    <row r="79" spans="1:26" x14ac:dyDescent="0.25">
      <c r="V79" s="33" t="s">
        <v>100</v>
      </c>
    </row>
    <row r="80" spans="1:26" x14ac:dyDescent="0.25">
      <c r="V80" s="53">
        <f>V74/V77</f>
        <v>0.27172513513513513</v>
      </c>
    </row>
  </sheetData>
  <sortState xmlns:xlrd2="http://schemas.microsoft.com/office/spreadsheetml/2017/richdata2" ref="B2:V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94"/>
  <sheetViews>
    <sheetView topLeftCell="A72" zoomScale="200" zoomScaleNormal="200" workbookViewId="0">
      <selection activeCell="G80" sqref="G80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101</v>
      </c>
      <c r="B1" s="5" t="s">
        <v>102</v>
      </c>
      <c r="C1" s="22" t="s">
        <v>103</v>
      </c>
      <c r="D1" s="23" t="s">
        <v>104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94" si="0">B4-B3</f>
        <v>6713.6600000000326</v>
      </c>
      <c r="D4" s="23">
        <f t="shared" ref="D4:D94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105</v>
      </c>
      <c r="G74" s="27">
        <f>AVERAGE(C3:C94)</f>
        <v>998.26184782608664</v>
      </c>
      <c r="I74" s="27">
        <v>1001.8361538461535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106</v>
      </c>
      <c r="G75" s="27">
        <f>_xlfn.STDEV.S(C3:C94)</f>
        <v>4019.7041349130682</v>
      </c>
      <c r="I75" s="27">
        <v>4041.8271217339247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107</v>
      </c>
      <c r="G76" s="28">
        <f>(G74/G75)*SQRT(252)</f>
        <v>3.9423089421909632</v>
      </c>
      <c r="I76" s="28">
        <v>3.934768961181994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108</v>
      </c>
      <c r="G77" s="29">
        <f>_xlfn.STDEV.S(D2:D94)*SQRT(252)</f>
        <v>0.17205540287833648</v>
      </c>
      <c r="I77" s="29">
        <v>0.17298853160364927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109</v>
      </c>
      <c r="G78" s="29" cm="1">
        <f t="array" ref="G78">PRODUCT(1+D3:D94)-1</f>
        <v>0.27541918702596813</v>
      </c>
      <c r="I78" s="29">
        <v>0.27340092888841583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110</v>
      </c>
      <c r="G79" s="29" cm="1">
        <f t="array" ref="G79">PRODUCT(1+D2:D94)^(252/COUNT(D2:D94))-1</f>
        <v>0.93323835265666988</v>
      </c>
      <c r="I79" s="29">
        <v>0.93871187618965823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  <row r="88" spans="1:4" x14ac:dyDescent="0.2">
      <c r="A88" s="26">
        <v>46304</v>
      </c>
      <c r="B88" s="5">
        <f>B87-386</f>
        <v>419639</v>
      </c>
      <c r="C88" s="5">
        <f t="shared" si="0"/>
        <v>-386</v>
      </c>
      <c r="D88" s="23">
        <f t="shared" si="1"/>
        <v>-9.1899291708826859E-4</v>
      </c>
    </row>
    <row r="89" spans="1:4" x14ac:dyDescent="0.2">
      <c r="A89" s="26">
        <v>46307</v>
      </c>
      <c r="B89" s="5">
        <f>B88-1029</f>
        <v>418610</v>
      </c>
      <c r="C89" s="5">
        <f t="shared" si="0"/>
        <v>-1029</v>
      </c>
      <c r="D89" s="23">
        <f t="shared" si="1"/>
        <v>-2.4521076449043108E-3</v>
      </c>
    </row>
    <row r="90" spans="1:4" x14ac:dyDescent="0.2">
      <c r="A90" s="26">
        <v>46308</v>
      </c>
      <c r="B90" s="5">
        <f>B89+130</f>
        <v>418740</v>
      </c>
      <c r="C90" s="5">
        <f t="shared" si="0"/>
        <v>130</v>
      </c>
      <c r="D90" s="23">
        <f t="shared" si="1"/>
        <v>3.1055158739638327E-4</v>
      </c>
    </row>
    <row r="91" spans="1:4" x14ac:dyDescent="0.2">
      <c r="A91" s="26">
        <v>46309</v>
      </c>
      <c r="B91" s="5">
        <f>B90+586+1300+1200</f>
        <v>421826</v>
      </c>
      <c r="C91" s="5">
        <f t="shared" si="0"/>
        <v>3086</v>
      </c>
      <c r="D91" s="23">
        <f t="shared" si="1"/>
        <v>7.3697282323159953E-3</v>
      </c>
    </row>
    <row r="92" spans="1:4" x14ac:dyDescent="0.2">
      <c r="A92" s="26">
        <v>46310</v>
      </c>
      <c r="B92" s="5">
        <f>B91-10-480+180+533+548+382</f>
        <v>422979</v>
      </c>
      <c r="C92" s="5">
        <f t="shared" si="0"/>
        <v>1153</v>
      </c>
      <c r="D92" s="23">
        <f t="shared" si="1"/>
        <v>2.7333545111017338E-3</v>
      </c>
    </row>
    <row r="93" spans="1:4" x14ac:dyDescent="0.2">
      <c r="A93" s="26">
        <v>46311</v>
      </c>
      <c r="B93" s="5">
        <f>B92+1644</f>
        <v>424623</v>
      </c>
      <c r="C93" s="5">
        <f t="shared" si="0"/>
        <v>1644</v>
      </c>
      <c r="D93" s="23">
        <f t="shared" si="1"/>
        <v>3.886717780315335E-3</v>
      </c>
    </row>
    <row r="94" spans="1:4" x14ac:dyDescent="0.2">
      <c r="A94" s="26">
        <v>46314</v>
      </c>
      <c r="B94" s="5">
        <f>B93-232+145+481+303-24</f>
        <v>425296</v>
      </c>
      <c r="C94" s="5">
        <f t="shared" si="0"/>
        <v>673</v>
      </c>
      <c r="D94" s="23">
        <f t="shared" si="1"/>
        <v>1.5849353426451228E-3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76"/>
  <sheetViews>
    <sheetView zoomScaleNormal="100" workbookViewId="0">
      <pane ySplit="1" topLeftCell="A70" activePane="bottomLeft" state="frozen"/>
      <selection pane="bottomLeft" activeCell="A101" sqref="A101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101</v>
      </c>
      <c r="B1" s="6" t="s">
        <v>514</v>
      </c>
      <c r="C1" s="7" t="s">
        <v>515</v>
      </c>
      <c r="D1" s="8" t="s">
        <v>516</v>
      </c>
      <c r="E1" s="8" t="s">
        <v>521</v>
      </c>
      <c r="F1" s="8" t="s">
        <v>114</v>
      </c>
      <c r="G1" s="8" t="s">
        <v>522</v>
      </c>
      <c r="H1" s="8" t="s">
        <v>523</v>
      </c>
      <c r="I1" s="8" t="s">
        <v>525</v>
      </c>
      <c r="J1" s="8" t="s">
        <v>112</v>
      </c>
      <c r="K1" s="8" t="s">
        <v>116</v>
      </c>
      <c r="L1" s="8" t="s">
        <v>43</v>
      </c>
      <c r="M1" s="9" t="s">
        <v>517</v>
      </c>
      <c r="N1" s="8" t="s">
        <v>518</v>
      </c>
      <c r="O1" s="8" t="s">
        <v>519</v>
      </c>
      <c r="P1" s="8" t="s">
        <v>527</v>
      </c>
      <c r="Q1" s="8" t="s">
        <v>528</v>
      </c>
      <c r="R1" s="8" t="s">
        <v>529</v>
      </c>
      <c r="S1" s="8" t="s">
        <v>530</v>
      </c>
      <c r="T1" s="8" t="s">
        <v>531</v>
      </c>
      <c r="U1" s="8" t="s">
        <v>581</v>
      </c>
      <c r="V1" s="8" t="s">
        <v>603</v>
      </c>
      <c r="W1" s="8" t="s">
        <v>520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101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 t="shared" ref="Q91:Q96" si="56">E91/M91</f>
        <v>0.74553540418252784</v>
      </c>
      <c r="R91" s="15">
        <v>0</v>
      </c>
      <c r="S91" s="15">
        <f t="shared" ref="S91" si="57">H91/M91</f>
        <v>9.3642640383097032E-3</v>
      </c>
      <c r="T91" s="15">
        <f t="shared" ref="T91" si="58">I91/M91</f>
        <v>0</v>
      </c>
      <c r="U91" s="15">
        <v>0</v>
      </c>
      <c r="V91" s="16">
        <f t="shared" ref="V91" si="59">K91/M91</f>
        <v>0</v>
      </c>
      <c r="W91" s="15">
        <f t="shared" ref="W91" si="60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1">C92/M92</f>
        <v>0.3929790871637609</v>
      </c>
      <c r="O92" s="15">
        <f t="shared" ref="O92" si="62">D92/M92</f>
        <v>0.56376480039973942</v>
      </c>
      <c r="P92" s="15">
        <v>0</v>
      </c>
      <c r="Q92" s="15">
        <f t="shared" si="56"/>
        <v>0</v>
      </c>
      <c r="R92" s="15">
        <v>0</v>
      </c>
      <c r="S92" s="15">
        <f t="shared" ref="S92" si="63">H92/M92</f>
        <v>4.3256112436499732E-2</v>
      </c>
      <c r="T92" s="15">
        <f t="shared" ref="T92" si="64">I92/M92</f>
        <v>0</v>
      </c>
      <c r="U92" s="15">
        <v>0</v>
      </c>
      <c r="V92" s="16">
        <f t="shared" ref="V92" si="65">K92/M92</f>
        <v>0</v>
      </c>
      <c r="W92" s="15">
        <f t="shared" ref="W92" si="66">L92/M92</f>
        <v>0</v>
      </c>
    </row>
    <row r="93" spans="1:23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8">
        <v>0</v>
      </c>
      <c r="M93" s="14">
        <f t="shared" si="0"/>
        <v>2279975</v>
      </c>
      <c r="N93" s="15">
        <f t="shared" ref="N93" si="67">C93/M93</f>
        <v>7.0369192644656187E-2</v>
      </c>
      <c r="O93" s="15">
        <f t="shared" ref="O93" si="68">D93/M93</f>
        <v>0</v>
      </c>
      <c r="P93" s="15">
        <v>0</v>
      </c>
      <c r="Q93" s="15">
        <f t="shared" si="56"/>
        <v>0.92188510838934634</v>
      </c>
      <c r="R93" s="15">
        <v>0</v>
      </c>
      <c r="S93" s="15">
        <f t="shared" ref="S93" si="69">H93/M93</f>
        <v>7.7456989659974345E-3</v>
      </c>
      <c r="T93" s="15">
        <f t="shared" ref="T93" si="70">I93/M93</f>
        <v>0</v>
      </c>
      <c r="U93" s="15">
        <v>0</v>
      </c>
      <c r="V93" s="16">
        <f t="shared" ref="V93" si="71">K93/M93</f>
        <v>0</v>
      </c>
      <c r="W93" s="15">
        <f t="shared" ref="W93" si="72">L93/M93</f>
        <v>0</v>
      </c>
    </row>
    <row r="94" spans="1:23" x14ac:dyDescent="0.25">
      <c r="A94" s="10">
        <v>46303</v>
      </c>
      <c r="B94" s="11">
        <v>420025</v>
      </c>
      <c r="C94" s="19">
        <v>160440</v>
      </c>
      <c r="D94" s="13">
        <f t="shared" ref="D94:D101" si="73">B94-C94-H94-L94-F94</f>
        <v>76736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8">
        <v>0</v>
      </c>
      <c r="M94" s="14">
        <f t="shared" si="0"/>
        <v>420025</v>
      </c>
      <c r="N94" s="15">
        <f t="shared" ref="N94" si="74">C94/M94</f>
        <v>0.38197726325813941</v>
      </c>
      <c r="O94" s="15">
        <f t="shared" ref="O94" si="75">D94/M94</f>
        <v>0.18269388726861496</v>
      </c>
      <c r="P94" s="15">
        <f>F94/M94</f>
        <v>0.39328373311112436</v>
      </c>
      <c r="Q94" s="15">
        <f t="shared" si="56"/>
        <v>0</v>
      </c>
      <c r="R94" s="15">
        <v>0</v>
      </c>
      <c r="S94" s="15">
        <f t="shared" ref="S94" si="76">H94/M94</f>
        <v>4.2045116362121306E-2</v>
      </c>
      <c r="T94" s="15">
        <f t="shared" ref="T94" si="77">I94/M94</f>
        <v>0</v>
      </c>
      <c r="U94" s="15">
        <v>0</v>
      </c>
      <c r="V94" s="16">
        <f t="shared" ref="V94" si="78">K94/M94</f>
        <v>0</v>
      </c>
      <c r="W94" s="15">
        <f t="shared" ref="W94" si="79">L94/M94</f>
        <v>0</v>
      </c>
    </row>
    <row r="95" spans="1:23" x14ac:dyDescent="0.25">
      <c r="A95" s="10">
        <v>46304</v>
      </c>
      <c r="B95" s="11">
        <v>419639</v>
      </c>
      <c r="C95" s="19">
        <v>0</v>
      </c>
      <c r="D95" s="13">
        <f t="shared" si="73"/>
        <v>236790</v>
      </c>
      <c r="E95" s="13">
        <v>0</v>
      </c>
      <c r="F95" s="13">
        <v>165189</v>
      </c>
      <c r="G95" s="13">
        <v>0</v>
      </c>
      <c r="H95" s="13">
        <v>17660</v>
      </c>
      <c r="I95" s="13">
        <v>0</v>
      </c>
      <c r="J95" s="13">
        <v>0</v>
      </c>
      <c r="K95" s="13">
        <v>0</v>
      </c>
      <c r="L95" s="18">
        <v>0</v>
      </c>
      <c r="M95" s="14">
        <f t="shared" si="0"/>
        <v>419639</v>
      </c>
      <c r="N95" s="15">
        <f t="shared" ref="N95" si="80">C95/M95</f>
        <v>0</v>
      </c>
      <c r="O95" s="15">
        <f t="shared" ref="O95" si="81">D95/M95</f>
        <v>0.56427071840319898</v>
      </c>
      <c r="P95" s="15">
        <f>F95/M95</f>
        <v>0.39364549052876402</v>
      </c>
      <c r="Q95" s="15">
        <f t="shared" si="56"/>
        <v>0</v>
      </c>
      <c r="R95" s="15">
        <v>0</v>
      </c>
      <c r="S95" s="15">
        <f t="shared" ref="S95" si="82">H95/M95</f>
        <v>4.2083791068037051E-2</v>
      </c>
      <c r="T95" s="15">
        <f t="shared" ref="T95" si="83">I95/M95</f>
        <v>0</v>
      </c>
      <c r="U95" s="15">
        <v>0</v>
      </c>
      <c r="V95" s="16">
        <f t="shared" ref="V95" si="84">K95/M95</f>
        <v>0</v>
      </c>
      <c r="W95" s="15">
        <f t="shared" ref="W95" si="85">L95/M95</f>
        <v>0</v>
      </c>
    </row>
    <row r="96" spans="1:23" x14ac:dyDescent="0.25">
      <c r="A96" s="10">
        <v>46307</v>
      </c>
      <c r="B96" s="11">
        <v>418610</v>
      </c>
      <c r="C96" s="19">
        <v>0</v>
      </c>
      <c r="D96" s="13">
        <f t="shared" si="73"/>
        <v>227126</v>
      </c>
      <c r="E96" s="13">
        <v>0</v>
      </c>
      <c r="F96" s="13">
        <v>165189</v>
      </c>
      <c r="G96" s="13">
        <v>0</v>
      </c>
      <c r="H96" s="13">
        <v>26295</v>
      </c>
      <c r="I96" s="13">
        <v>0</v>
      </c>
      <c r="J96" s="13">
        <v>0</v>
      </c>
      <c r="K96" s="13">
        <v>0</v>
      </c>
      <c r="L96" s="18">
        <v>0</v>
      </c>
      <c r="M96" s="14">
        <f t="shared" si="0"/>
        <v>418610</v>
      </c>
      <c r="N96" s="15">
        <f t="shared" ref="N96" si="86">C96/M96</f>
        <v>0</v>
      </c>
      <c r="O96" s="15">
        <f t="shared" ref="O96" si="87">D96/M96</f>
        <v>0.54257184491531496</v>
      </c>
      <c r="P96" s="15">
        <f>F96/M96</f>
        <v>0.39461312438785506</v>
      </c>
      <c r="Q96" s="15">
        <f t="shared" si="56"/>
        <v>0</v>
      </c>
      <c r="R96" s="15">
        <v>0</v>
      </c>
      <c r="S96" s="15">
        <f t="shared" ref="S96" si="88">H96/M96</f>
        <v>6.281503069682999E-2</v>
      </c>
      <c r="T96" s="15">
        <f t="shared" ref="T96" si="89">I96/M96</f>
        <v>0</v>
      </c>
      <c r="U96" s="15">
        <v>0</v>
      </c>
      <c r="V96" s="16">
        <f t="shared" ref="V96" si="90">K96/M96</f>
        <v>0</v>
      </c>
      <c r="W96" s="15">
        <f t="shared" ref="W96" si="91">L96/M96</f>
        <v>0</v>
      </c>
    </row>
    <row r="97" spans="1:23" x14ac:dyDescent="0.25">
      <c r="A97" s="10">
        <v>46308</v>
      </c>
      <c r="B97" s="11">
        <v>418740</v>
      </c>
      <c r="C97" s="19">
        <v>0</v>
      </c>
      <c r="D97" s="13">
        <f t="shared" si="73"/>
        <v>227256</v>
      </c>
      <c r="E97" s="13">
        <v>0</v>
      </c>
      <c r="F97" s="13">
        <v>165189</v>
      </c>
      <c r="G97" s="13">
        <v>0</v>
      </c>
      <c r="H97" s="13">
        <v>26295</v>
      </c>
      <c r="I97" s="13">
        <v>0</v>
      </c>
      <c r="J97" s="13">
        <v>0</v>
      </c>
      <c r="K97" s="13">
        <v>0</v>
      </c>
      <c r="L97" s="18">
        <v>0</v>
      </c>
      <c r="M97" s="14">
        <f t="shared" si="0"/>
        <v>418740</v>
      </c>
      <c r="N97" s="15">
        <f t="shared" ref="N97" si="92">C97/M97</f>
        <v>0</v>
      </c>
      <c r="O97" s="15">
        <f t="shared" ref="O97" si="93">D97/M97</f>
        <v>0.54271385585327414</v>
      </c>
      <c r="P97" s="15">
        <f>F97/M97</f>
        <v>0.39449061470124658</v>
      </c>
      <c r="Q97" s="15">
        <f t="shared" ref="Q97" si="94">E97/M97</f>
        <v>0</v>
      </c>
      <c r="R97" s="15">
        <v>0</v>
      </c>
      <c r="S97" s="15">
        <f t="shared" ref="S97" si="95">H97/M97</f>
        <v>6.2795529445479295E-2</v>
      </c>
      <c r="T97" s="15">
        <f t="shared" ref="T97" si="96">I97/M97</f>
        <v>0</v>
      </c>
      <c r="U97" s="15">
        <v>0</v>
      </c>
      <c r="V97" s="16">
        <f t="shared" ref="V97" si="97">K97/M97</f>
        <v>0</v>
      </c>
      <c r="W97" s="15">
        <f t="shared" ref="W97" si="98">L97/M97</f>
        <v>0</v>
      </c>
    </row>
    <row r="98" spans="1:23" x14ac:dyDescent="0.25">
      <c r="A98" s="10">
        <v>46309</v>
      </c>
      <c r="B98" s="11">
        <v>421826</v>
      </c>
      <c r="C98" s="19">
        <v>0</v>
      </c>
      <c r="D98" s="13">
        <f t="shared" si="73"/>
        <v>139041</v>
      </c>
      <c r="E98" s="13">
        <v>0</v>
      </c>
      <c r="F98" s="13">
        <v>256490</v>
      </c>
      <c r="G98" s="13">
        <v>0</v>
      </c>
      <c r="H98" s="13">
        <v>26295</v>
      </c>
      <c r="I98" s="13">
        <v>0</v>
      </c>
      <c r="J98" s="13">
        <v>0</v>
      </c>
      <c r="K98" s="13">
        <v>0</v>
      </c>
      <c r="L98" s="18">
        <v>0</v>
      </c>
      <c r="M98" s="14">
        <f t="shared" si="0"/>
        <v>421826</v>
      </c>
      <c r="N98" s="15">
        <f t="shared" ref="N98" si="99">C98/M98</f>
        <v>0</v>
      </c>
      <c r="O98" s="15">
        <f t="shared" ref="O98:O99" si="100">D98/M98</f>
        <v>0.32961695106513111</v>
      </c>
      <c r="P98" s="15">
        <f>F98/M98</f>
        <v>0.60804691982002057</v>
      </c>
      <c r="Q98" s="15">
        <f t="shared" ref="Q98" si="101">E98/M98</f>
        <v>0</v>
      </c>
      <c r="R98" s="15">
        <v>0</v>
      </c>
      <c r="S98" s="15">
        <f t="shared" ref="S98" si="102">H98/M98</f>
        <v>6.2336129114848302E-2</v>
      </c>
      <c r="T98" s="15">
        <f t="shared" ref="T98" si="103">I98/M98</f>
        <v>0</v>
      </c>
      <c r="U98" s="15">
        <v>0</v>
      </c>
      <c r="V98" s="16">
        <f t="shared" ref="V98" si="104">K98/M98</f>
        <v>0</v>
      </c>
      <c r="W98" s="15">
        <f t="shared" ref="W98" si="105">L98/M98</f>
        <v>0</v>
      </c>
    </row>
    <row r="99" spans="1:23" x14ac:dyDescent="0.25">
      <c r="A99" s="10">
        <v>46310</v>
      </c>
      <c r="B99" s="11">
        <v>422979</v>
      </c>
      <c r="C99" s="19">
        <v>141047</v>
      </c>
      <c r="D99" s="13">
        <f t="shared" si="73"/>
        <v>281932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8">
        <v>0</v>
      </c>
      <c r="M99" s="14">
        <f t="shared" si="0"/>
        <v>422979</v>
      </c>
      <c r="N99" s="15">
        <f t="shared" ref="N99" si="106">C99/M99</f>
        <v>0.33346099924582545</v>
      </c>
      <c r="O99" s="15">
        <f t="shared" si="100"/>
        <v>0.6665390007541746</v>
      </c>
      <c r="P99" s="15">
        <f t="shared" ref="P99" si="107">E99/N99</f>
        <v>0</v>
      </c>
      <c r="Q99" s="15">
        <f t="shared" ref="Q99" si="108">E99/M99</f>
        <v>0</v>
      </c>
      <c r="R99" s="15">
        <v>0</v>
      </c>
      <c r="S99" s="15">
        <v>0</v>
      </c>
      <c r="T99" s="15">
        <f t="shared" ref="T99" si="109">I99/M99</f>
        <v>0</v>
      </c>
      <c r="U99" s="15">
        <v>0</v>
      </c>
      <c r="V99" s="16">
        <f t="shared" ref="V99" si="110">K99/M99</f>
        <v>0</v>
      </c>
      <c r="W99" s="15">
        <f t="shared" ref="W99" si="111">L99/M99</f>
        <v>0</v>
      </c>
    </row>
    <row r="100" spans="1:23" x14ac:dyDescent="0.25">
      <c r="A100" s="10">
        <v>46311</v>
      </c>
      <c r="B100" s="11">
        <v>424623</v>
      </c>
      <c r="C100" s="19">
        <v>225245</v>
      </c>
      <c r="D100" s="13">
        <f t="shared" si="73"/>
        <v>199378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8">
        <v>0</v>
      </c>
      <c r="M100" s="14">
        <f t="shared" si="0"/>
        <v>424623</v>
      </c>
      <c r="N100" s="15">
        <f t="shared" ref="N100" si="112">C100/M100</f>
        <v>0.5304587834384854</v>
      </c>
      <c r="O100" s="15">
        <f t="shared" ref="O100" si="113">D100/M100</f>
        <v>0.46954121656151454</v>
      </c>
      <c r="P100" s="15">
        <f t="shared" ref="P100" si="114">E100/N100</f>
        <v>0</v>
      </c>
      <c r="Q100" s="15">
        <f t="shared" ref="Q100" si="115">E100/M100</f>
        <v>0</v>
      </c>
      <c r="R100" s="15">
        <v>0</v>
      </c>
      <c r="S100" s="15">
        <v>0</v>
      </c>
      <c r="T100" s="15">
        <f t="shared" ref="T100" si="116">I100/M100</f>
        <v>0</v>
      </c>
      <c r="U100" s="15">
        <v>0</v>
      </c>
      <c r="V100" s="16">
        <f t="shared" ref="V100" si="117">K100/M100</f>
        <v>0</v>
      </c>
      <c r="W100" s="15">
        <f t="shared" ref="W100" si="118">L100/M100</f>
        <v>0</v>
      </c>
    </row>
    <row r="101" spans="1:23" x14ac:dyDescent="0.25">
      <c r="A101" s="10">
        <v>46314</v>
      </c>
      <c r="B101" s="11">
        <v>425296</v>
      </c>
      <c r="C101" s="19">
        <v>34456</v>
      </c>
      <c r="D101" s="13">
        <f t="shared" si="73"/>
        <v>390840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8">
        <v>0</v>
      </c>
      <c r="M101" s="14">
        <f t="shared" si="0"/>
        <v>425296</v>
      </c>
      <c r="N101" s="15">
        <f t="shared" ref="N101" si="119">C101/M101</f>
        <v>8.1016515556224369E-2</v>
      </c>
      <c r="O101" s="15">
        <f t="shared" ref="O101" si="120">D101/M101</f>
        <v>0.91898348444377564</v>
      </c>
      <c r="P101" s="15">
        <f t="shared" ref="P101" si="121">E101/N101</f>
        <v>0</v>
      </c>
      <c r="Q101" s="15">
        <f t="shared" ref="Q101" si="122">E101/M101</f>
        <v>0</v>
      </c>
      <c r="R101" s="15">
        <v>0</v>
      </c>
      <c r="S101" s="15">
        <v>0</v>
      </c>
      <c r="T101" s="15">
        <f t="shared" ref="T101" si="123">I101/M101</f>
        <v>0</v>
      </c>
      <c r="U101" s="15">
        <v>0</v>
      </c>
      <c r="V101" s="16">
        <f t="shared" ref="V101" si="124">K101/M101</f>
        <v>0</v>
      </c>
      <c r="W101" s="15">
        <f t="shared" ref="W101" si="125">L101/M101</f>
        <v>0</v>
      </c>
    </row>
    <row r="1048543" spans="1:1" x14ac:dyDescent="0.25">
      <c r="A1048543" s="10"/>
    </row>
    <row r="1048576" spans="1:1" x14ac:dyDescent="0.25">
      <c r="A1048576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111</v>
      </c>
      <c r="B1" s="4" t="s">
        <v>112</v>
      </c>
      <c r="C1" s="4" t="s">
        <v>113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121</v>
      </c>
      <c r="L1" s="4" t="s">
        <v>122</v>
      </c>
    </row>
    <row r="2" spans="1:12" s="1" customFormat="1" x14ac:dyDescent="0.2">
      <c r="A2" s="3" t="s">
        <v>123</v>
      </c>
      <c r="B2" s="3" t="s">
        <v>124</v>
      </c>
      <c r="C2" s="3" t="s">
        <v>125</v>
      </c>
      <c r="D2" s="3" t="s">
        <v>126</v>
      </c>
      <c r="E2" s="3" t="s">
        <v>127</v>
      </c>
      <c r="F2" s="3" t="s">
        <v>128</v>
      </c>
      <c r="G2" s="3" t="s">
        <v>533</v>
      </c>
      <c r="H2" s="3" t="s">
        <v>130</v>
      </c>
      <c r="I2" s="3" t="s">
        <v>131</v>
      </c>
      <c r="J2" s="3" t="s">
        <v>132</v>
      </c>
      <c r="K2" s="3" t="s">
        <v>133</v>
      </c>
      <c r="L2" s="3" t="s">
        <v>134</v>
      </c>
    </row>
    <row r="3" spans="1:12" s="1" customFormat="1" x14ac:dyDescent="0.2">
      <c r="A3" s="3" t="s">
        <v>135</v>
      </c>
      <c r="B3" s="3" t="s">
        <v>136</v>
      </c>
      <c r="C3" s="3" t="s">
        <v>137</v>
      </c>
      <c r="D3" s="3" t="s">
        <v>138</v>
      </c>
      <c r="E3" s="3" t="s">
        <v>139</v>
      </c>
      <c r="F3" s="3" t="s">
        <v>140</v>
      </c>
      <c r="G3" s="3" t="s">
        <v>534</v>
      </c>
      <c r="H3" s="3" t="s">
        <v>142</v>
      </c>
      <c r="I3" s="3" t="s">
        <v>143</v>
      </c>
      <c r="J3" s="3" t="s">
        <v>144</v>
      </c>
      <c r="K3" s="3" t="s">
        <v>145</v>
      </c>
      <c r="L3" s="3" t="s">
        <v>146</v>
      </c>
    </row>
    <row r="4" spans="1:12" s="1" customFormat="1" x14ac:dyDescent="0.2">
      <c r="A4" s="3" t="s">
        <v>147</v>
      </c>
      <c r="B4" s="3" t="s">
        <v>148</v>
      </c>
      <c r="C4" s="3" t="s">
        <v>149</v>
      </c>
      <c r="D4" s="3" t="s">
        <v>150</v>
      </c>
      <c r="E4" s="3" t="s">
        <v>151</v>
      </c>
      <c r="F4" s="2"/>
      <c r="G4" s="3" t="s">
        <v>129</v>
      </c>
      <c r="H4" s="3" t="s">
        <v>153</v>
      </c>
      <c r="I4" s="3" t="s">
        <v>154</v>
      </c>
      <c r="J4" s="3" t="s">
        <v>155</v>
      </c>
      <c r="K4" s="3" t="s">
        <v>156</v>
      </c>
      <c r="L4" s="3" t="s">
        <v>157</v>
      </c>
    </row>
    <row r="5" spans="1:12" s="1" customFormat="1" x14ac:dyDescent="0.2">
      <c r="A5" s="3" t="s">
        <v>158</v>
      </c>
      <c r="B5" s="3" t="s">
        <v>159</v>
      </c>
      <c r="C5" s="3" t="s">
        <v>160</v>
      </c>
      <c r="D5" s="3" t="s">
        <v>161</v>
      </c>
      <c r="E5" s="3" t="s">
        <v>162</v>
      </c>
      <c r="F5" s="2"/>
      <c r="G5" s="3" t="s">
        <v>141</v>
      </c>
      <c r="H5" s="3" t="s">
        <v>164</v>
      </c>
      <c r="I5" s="3" t="s">
        <v>165</v>
      </c>
      <c r="J5" s="3" t="s">
        <v>166</v>
      </c>
      <c r="K5" s="3" t="s">
        <v>167</v>
      </c>
      <c r="L5" s="3" t="s">
        <v>168</v>
      </c>
    </row>
    <row r="6" spans="1:12" s="1" customFormat="1" x14ac:dyDescent="0.2">
      <c r="A6" s="3" t="s">
        <v>169</v>
      </c>
      <c r="B6" s="3" t="s">
        <v>170</v>
      </c>
      <c r="C6" s="3" t="s">
        <v>171</v>
      </c>
      <c r="D6" s="3" t="s">
        <v>172</v>
      </c>
      <c r="E6" s="3" t="s">
        <v>173</v>
      </c>
      <c r="F6" s="2"/>
      <c r="G6" s="3" t="s">
        <v>152</v>
      </c>
      <c r="H6" s="3" t="s">
        <v>175</v>
      </c>
      <c r="I6" s="3" t="s">
        <v>176</v>
      </c>
      <c r="J6" s="3" t="s">
        <v>177</v>
      </c>
      <c r="K6" s="3" t="s">
        <v>178</v>
      </c>
      <c r="L6" s="3" t="s">
        <v>179</v>
      </c>
    </row>
    <row r="7" spans="1:12" s="1" customFormat="1" x14ac:dyDescent="0.2">
      <c r="A7" s="3" t="s">
        <v>180</v>
      </c>
      <c r="B7" s="3" t="s">
        <v>181</v>
      </c>
      <c r="C7" s="3" t="s">
        <v>182</v>
      </c>
      <c r="D7" s="3" t="s">
        <v>183</v>
      </c>
      <c r="E7" s="3" t="s">
        <v>184</v>
      </c>
      <c r="F7" s="2"/>
      <c r="G7" s="3" t="s">
        <v>163</v>
      </c>
      <c r="H7" s="3" t="s">
        <v>186</v>
      </c>
      <c r="I7" s="3" t="s">
        <v>187</v>
      </c>
      <c r="J7" s="3" t="s">
        <v>188</v>
      </c>
      <c r="K7" s="3" t="s">
        <v>189</v>
      </c>
      <c r="L7" s="3" t="s">
        <v>190</v>
      </c>
    </row>
    <row r="8" spans="1:12" s="1" customFormat="1" x14ac:dyDescent="0.2">
      <c r="A8" s="3" t="s">
        <v>191</v>
      </c>
      <c r="B8" s="3" t="s">
        <v>192</v>
      </c>
      <c r="C8" s="3" t="s">
        <v>193</v>
      </c>
      <c r="D8" s="2"/>
      <c r="E8" s="3" t="s">
        <v>194</v>
      </c>
      <c r="F8" s="2"/>
      <c r="G8" s="3" t="s">
        <v>174</v>
      </c>
      <c r="H8" s="3" t="s">
        <v>196</v>
      </c>
      <c r="I8" s="3" t="s">
        <v>197</v>
      </c>
      <c r="J8" s="3" t="s">
        <v>198</v>
      </c>
      <c r="K8" s="3" t="s">
        <v>199</v>
      </c>
      <c r="L8" s="3" t="s">
        <v>200</v>
      </c>
    </row>
    <row r="9" spans="1:12" s="1" customFormat="1" x14ac:dyDescent="0.2">
      <c r="A9" s="3"/>
      <c r="B9" s="3" t="s">
        <v>201</v>
      </c>
      <c r="C9" s="3" t="s">
        <v>202</v>
      </c>
      <c r="D9" s="2"/>
      <c r="E9" s="3" t="s">
        <v>203</v>
      </c>
      <c r="F9" s="2"/>
      <c r="G9" s="3" t="s">
        <v>185</v>
      </c>
      <c r="H9" s="3" t="s">
        <v>205</v>
      </c>
      <c r="I9" s="3" t="s">
        <v>206</v>
      </c>
      <c r="J9" s="3" t="s">
        <v>207</v>
      </c>
      <c r="K9" s="3" t="s">
        <v>208</v>
      </c>
      <c r="L9" s="3" t="s">
        <v>209</v>
      </c>
    </row>
    <row r="10" spans="1:12" s="1" customFormat="1" x14ac:dyDescent="0.2">
      <c r="A10" s="3"/>
      <c r="B10" s="3" t="s">
        <v>210</v>
      </c>
      <c r="C10" s="3" t="s">
        <v>211</v>
      </c>
      <c r="D10" s="2"/>
      <c r="E10" s="2"/>
      <c r="F10" s="2"/>
      <c r="G10" s="3" t="s">
        <v>559</v>
      </c>
      <c r="H10" s="3" t="s">
        <v>213</v>
      </c>
      <c r="I10" s="3" t="s">
        <v>214</v>
      </c>
      <c r="J10" s="3" t="s">
        <v>215</v>
      </c>
      <c r="K10" s="3" t="s">
        <v>216</v>
      </c>
      <c r="L10" s="3" t="s">
        <v>217</v>
      </c>
    </row>
    <row r="11" spans="1:12" s="1" customFormat="1" x14ac:dyDescent="0.2">
      <c r="A11" s="3"/>
      <c r="B11" s="3" t="s">
        <v>218</v>
      </c>
      <c r="C11" s="3" t="s">
        <v>219</v>
      </c>
      <c r="D11" s="2"/>
      <c r="E11" s="2"/>
      <c r="F11" s="2"/>
      <c r="G11" s="3" t="s">
        <v>195</v>
      </c>
      <c r="H11" s="3" t="s">
        <v>221</v>
      </c>
      <c r="I11" s="3" t="s">
        <v>222</v>
      </c>
      <c r="J11" s="3" t="s">
        <v>223</v>
      </c>
      <c r="K11" s="3" t="s">
        <v>224</v>
      </c>
      <c r="L11" s="3" t="s">
        <v>225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204</v>
      </c>
      <c r="H12" s="3" t="s">
        <v>227</v>
      </c>
      <c r="I12" s="3" t="s">
        <v>228</v>
      </c>
      <c r="J12" s="3" t="s">
        <v>229</v>
      </c>
      <c r="K12" s="3" t="s">
        <v>526</v>
      </c>
      <c r="L12" s="3" t="s">
        <v>231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212</v>
      </c>
      <c r="H13" s="3"/>
      <c r="I13" s="3" t="s">
        <v>233</v>
      </c>
      <c r="J13" s="3" t="s">
        <v>234</v>
      </c>
      <c r="K13" s="3" t="s">
        <v>230</v>
      </c>
      <c r="L13" s="3" t="s">
        <v>236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220</v>
      </c>
      <c r="H14" s="3"/>
      <c r="I14" s="3" t="s">
        <v>238</v>
      </c>
      <c r="J14" s="3" t="s">
        <v>239</v>
      </c>
      <c r="K14" s="3" t="s">
        <v>235</v>
      </c>
      <c r="L14" s="3" t="s">
        <v>241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226</v>
      </c>
      <c r="H15" s="3"/>
      <c r="I15" s="3" t="s">
        <v>243</v>
      </c>
      <c r="J15" s="3" t="s">
        <v>244</v>
      </c>
      <c r="K15" s="3" t="s">
        <v>240</v>
      </c>
      <c r="L15" s="3" t="s">
        <v>246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232</v>
      </c>
      <c r="H16" s="3"/>
      <c r="I16" s="3" t="s">
        <v>248</v>
      </c>
      <c r="J16" s="3" t="s">
        <v>249</v>
      </c>
      <c r="K16" s="3" t="s">
        <v>245</v>
      </c>
      <c r="L16" s="3" t="s">
        <v>251</v>
      </c>
    </row>
    <row r="17" spans="1:12" s="1" customFormat="1" x14ac:dyDescent="0.2">
      <c r="A17" s="3" t="s">
        <v>252</v>
      </c>
      <c r="B17" s="3">
        <v>7</v>
      </c>
      <c r="C17" s="2"/>
      <c r="D17" s="2"/>
      <c r="E17" s="2"/>
      <c r="F17" s="2"/>
      <c r="G17" s="3" t="s">
        <v>237</v>
      </c>
      <c r="H17" s="3"/>
      <c r="I17" s="3" t="s">
        <v>254</v>
      </c>
      <c r="J17" s="3" t="s">
        <v>255</v>
      </c>
      <c r="K17" s="3" t="s">
        <v>250</v>
      </c>
      <c r="L17" s="3" t="s">
        <v>257</v>
      </c>
    </row>
    <row r="18" spans="1:12" s="1" customFormat="1" x14ac:dyDescent="0.2">
      <c r="A18" s="3" t="s">
        <v>112</v>
      </c>
      <c r="B18" s="3">
        <v>10</v>
      </c>
      <c r="C18" s="2"/>
      <c r="D18" s="2"/>
      <c r="E18" s="2"/>
      <c r="F18" s="2"/>
      <c r="G18" s="3" t="s">
        <v>242</v>
      </c>
      <c r="H18" s="3"/>
      <c r="I18" s="3" t="s">
        <v>259</v>
      </c>
      <c r="J18" s="3" t="s">
        <v>260</v>
      </c>
      <c r="K18" s="3" t="s">
        <v>256</v>
      </c>
      <c r="L18" s="3" t="s">
        <v>262</v>
      </c>
    </row>
    <row r="19" spans="1:12" s="1" customFormat="1" x14ac:dyDescent="0.2">
      <c r="A19" s="3" t="s">
        <v>113</v>
      </c>
      <c r="B19" s="3">
        <v>10</v>
      </c>
      <c r="C19" s="2"/>
      <c r="D19" s="2"/>
      <c r="E19" s="2"/>
      <c r="F19" s="2"/>
      <c r="G19" s="3" t="s">
        <v>247</v>
      </c>
      <c r="H19" s="3"/>
      <c r="I19" s="3" t="s">
        <v>264</v>
      </c>
      <c r="J19" s="3" t="s">
        <v>265</v>
      </c>
      <c r="K19" s="3" t="s">
        <v>261</v>
      </c>
      <c r="L19" s="3" t="s">
        <v>267</v>
      </c>
    </row>
    <row r="20" spans="1:12" s="1" customFormat="1" x14ac:dyDescent="0.2">
      <c r="A20" s="3" t="s">
        <v>114</v>
      </c>
      <c r="B20" s="3">
        <v>6</v>
      </c>
      <c r="C20" s="2"/>
      <c r="D20" s="2"/>
      <c r="E20" s="2"/>
      <c r="F20" s="2"/>
      <c r="G20" s="3" t="s">
        <v>253</v>
      </c>
      <c r="H20" s="3"/>
      <c r="I20" s="3" t="s">
        <v>269</v>
      </c>
      <c r="J20" s="3" t="s">
        <v>270</v>
      </c>
      <c r="K20" s="3" t="s">
        <v>266</v>
      </c>
      <c r="L20" s="3" t="s">
        <v>272</v>
      </c>
    </row>
    <row r="21" spans="1:12" s="1" customFormat="1" x14ac:dyDescent="0.2">
      <c r="A21" s="3" t="s">
        <v>115</v>
      </c>
      <c r="B21" s="3">
        <v>8</v>
      </c>
      <c r="C21" s="2"/>
      <c r="D21" s="2"/>
      <c r="E21" s="2"/>
      <c r="F21" s="2"/>
      <c r="G21" s="3" t="s">
        <v>258</v>
      </c>
      <c r="H21" s="3"/>
      <c r="I21" s="3" t="s">
        <v>274</v>
      </c>
      <c r="J21" s="3" t="s">
        <v>275</v>
      </c>
      <c r="K21" s="3" t="s">
        <v>271</v>
      </c>
      <c r="L21" s="3" t="s">
        <v>277</v>
      </c>
    </row>
    <row r="22" spans="1:12" s="1" customFormat="1" x14ac:dyDescent="0.2">
      <c r="A22" s="3" t="s">
        <v>116</v>
      </c>
      <c r="B22" s="3">
        <v>2</v>
      </c>
      <c r="C22" s="2"/>
      <c r="D22" s="2"/>
      <c r="E22" s="2"/>
      <c r="F22" s="2"/>
      <c r="G22" s="3" t="s">
        <v>557</v>
      </c>
      <c r="H22" s="3"/>
      <c r="I22" s="3" t="s">
        <v>279</v>
      </c>
      <c r="J22" s="3" t="s">
        <v>280</v>
      </c>
      <c r="K22" s="3" t="s">
        <v>276</v>
      </c>
      <c r="L22" s="3" t="s">
        <v>281</v>
      </c>
    </row>
    <row r="23" spans="1:12" s="1" customFormat="1" x14ac:dyDescent="0.2">
      <c r="A23" s="3" t="s">
        <v>117</v>
      </c>
      <c r="B23" s="3">
        <v>149</v>
      </c>
      <c r="C23" s="2"/>
      <c r="D23" s="2"/>
      <c r="E23" s="2"/>
      <c r="F23" s="2"/>
      <c r="G23" s="3" t="s">
        <v>263</v>
      </c>
      <c r="H23" s="3"/>
      <c r="I23" s="3" t="s">
        <v>283</v>
      </c>
      <c r="J23" s="3" t="s">
        <v>284</v>
      </c>
      <c r="K23" s="3"/>
      <c r="L23" s="3" t="s">
        <v>285</v>
      </c>
    </row>
    <row r="24" spans="1:12" s="1" customFormat="1" x14ac:dyDescent="0.2">
      <c r="A24" s="3" t="s">
        <v>286</v>
      </c>
      <c r="B24" s="3">
        <v>11</v>
      </c>
      <c r="C24" s="2"/>
      <c r="D24" s="2"/>
      <c r="E24" s="2"/>
      <c r="F24" s="2"/>
      <c r="G24" s="3" t="s">
        <v>268</v>
      </c>
      <c r="H24" s="3"/>
      <c r="I24" s="3" t="s">
        <v>288</v>
      </c>
      <c r="J24" s="3" t="s">
        <v>289</v>
      </c>
      <c r="K24" s="3"/>
      <c r="L24" s="3"/>
    </row>
    <row r="25" spans="1:12" s="1" customFormat="1" x14ac:dyDescent="0.2">
      <c r="A25" s="3" t="s">
        <v>119</v>
      </c>
      <c r="B25" s="3">
        <v>97</v>
      </c>
      <c r="C25" s="2"/>
      <c r="D25" s="2"/>
      <c r="E25" s="2"/>
      <c r="F25" s="2"/>
      <c r="G25" s="3" t="s">
        <v>550</v>
      </c>
      <c r="H25" s="3"/>
      <c r="I25" s="3" t="s">
        <v>291</v>
      </c>
      <c r="J25" s="3" t="s">
        <v>292</v>
      </c>
      <c r="K25" s="3"/>
      <c r="L25" s="3"/>
    </row>
    <row r="26" spans="1:12" s="1" customFormat="1" x14ac:dyDescent="0.2">
      <c r="A26" s="3" t="s">
        <v>120</v>
      </c>
      <c r="B26" s="3">
        <v>32</v>
      </c>
      <c r="C26" s="2"/>
      <c r="D26" s="2"/>
      <c r="E26" s="2"/>
      <c r="F26" s="2"/>
      <c r="G26" s="3" t="s">
        <v>273</v>
      </c>
      <c r="H26" s="3"/>
      <c r="I26" s="3" t="s">
        <v>294</v>
      </c>
      <c r="J26" s="3" t="s">
        <v>295</v>
      </c>
      <c r="K26" s="3"/>
      <c r="L26" s="3"/>
    </row>
    <row r="27" spans="1:12" s="1" customFormat="1" x14ac:dyDescent="0.2">
      <c r="A27" s="3" t="s">
        <v>43</v>
      </c>
      <c r="B27" s="3">
        <v>20</v>
      </c>
      <c r="C27" s="2"/>
      <c r="D27" s="2"/>
      <c r="E27" s="2"/>
      <c r="F27" s="2"/>
      <c r="G27" s="3" t="s">
        <v>278</v>
      </c>
      <c r="H27" s="3"/>
      <c r="I27" s="3" t="s">
        <v>297</v>
      </c>
      <c r="J27" s="3" t="s">
        <v>298</v>
      </c>
      <c r="K27" s="3"/>
      <c r="L27" s="3"/>
    </row>
    <row r="28" spans="1:12" s="1" customFormat="1" x14ac:dyDescent="0.2">
      <c r="A28" s="3" t="s">
        <v>122</v>
      </c>
      <c r="B28" s="3">
        <v>22</v>
      </c>
      <c r="C28" s="2"/>
      <c r="D28" s="2"/>
      <c r="E28" s="2"/>
      <c r="F28" s="2"/>
      <c r="G28" s="3" t="s">
        <v>282</v>
      </c>
      <c r="H28" s="3"/>
      <c r="I28" s="3" t="s">
        <v>300</v>
      </c>
      <c r="J28" s="3" t="s">
        <v>301</v>
      </c>
      <c r="K28" s="3"/>
      <c r="L28" s="3"/>
    </row>
    <row r="29" spans="1:12" s="1" customFormat="1" x14ac:dyDescent="0.2">
      <c r="A29" s="3" t="s">
        <v>302</v>
      </c>
      <c r="B29" s="3">
        <f>SUM(B17:B28)</f>
        <v>374</v>
      </c>
      <c r="C29" s="2"/>
      <c r="D29" s="2"/>
      <c r="E29" s="2"/>
      <c r="F29" s="2"/>
      <c r="G29" s="3" t="s">
        <v>287</v>
      </c>
      <c r="H29" s="3"/>
      <c r="I29" s="3" t="s">
        <v>304</v>
      </c>
      <c r="J29" s="3" t="s">
        <v>305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290</v>
      </c>
      <c r="H30" s="3"/>
      <c r="I30" s="3" t="s">
        <v>307</v>
      </c>
      <c r="J30" s="3" t="s">
        <v>308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552</v>
      </c>
      <c r="H31" s="3"/>
      <c r="I31" s="3" t="s">
        <v>310</v>
      </c>
      <c r="J31" s="3" t="s">
        <v>311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538</v>
      </c>
      <c r="H32" s="3"/>
      <c r="I32" s="3" t="s">
        <v>313</v>
      </c>
      <c r="J32" s="3" t="s">
        <v>314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564</v>
      </c>
      <c r="H33" s="3"/>
      <c r="I33" s="3" t="s">
        <v>316</v>
      </c>
      <c r="J33" s="3" t="s">
        <v>317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293</v>
      </c>
      <c r="H34" s="3"/>
      <c r="I34" s="3" t="s">
        <v>319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296</v>
      </c>
      <c r="H35" s="3"/>
      <c r="I35" s="3" t="s">
        <v>321</v>
      </c>
      <c r="J35" s="3"/>
      <c r="K35" s="2"/>
      <c r="L35" s="2"/>
    </row>
    <row r="36" spans="1:12" x14ac:dyDescent="0.2">
      <c r="G36" s="3" t="s">
        <v>299</v>
      </c>
      <c r="H36" s="3"/>
      <c r="I36" s="3" t="s">
        <v>323</v>
      </c>
    </row>
    <row r="37" spans="1:12" x14ac:dyDescent="0.2">
      <c r="G37" s="3" t="s">
        <v>303</v>
      </c>
      <c r="I37" s="3" t="s">
        <v>325</v>
      </c>
    </row>
    <row r="38" spans="1:12" x14ac:dyDescent="0.2">
      <c r="G38" s="3" t="s">
        <v>565</v>
      </c>
      <c r="I38" s="3" t="s">
        <v>327</v>
      </c>
    </row>
    <row r="39" spans="1:12" x14ac:dyDescent="0.2">
      <c r="G39" s="3" t="s">
        <v>541</v>
      </c>
      <c r="I39" s="3" t="s">
        <v>329</v>
      </c>
    </row>
    <row r="40" spans="1:12" x14ac:dyDescent="0.2">
      <c r="G40" s="3" t="s">
        <v>306</v>
      </c>
      <c r="I40" s="3" t="s">
        <v>331</v>
      </c>
    </row>
    <row r="41" spans="1:12" x14ac:dyDescent="0.2">
      <c r="G41" s="3" t="s">
        <v>309</v>
      </c>
      <c r="I41" s="3" t="s">
        <v>333</v>
      </c>
    </row>
    <row r="42" spans="1:12" x14ac:dyDescent="0.2">
      <c r="G42" s="3" t="s">
        <v>548</v>
      </c>
      <c r="I42" s="3" t="s">
        <v>335</v>
      </c>
    </row>
    <row r="43" spans="1:12" x14ac:dyDescent="0.2">
      <c r="G43" s="3" t="s">
        <v>312</v>
      </c>
      <c r="I43" s="3" t="s">
        <v>337</v>
      </c>
    </row>
    <row r="44" spans="1:12" x14ac:dyDescent="0.2">
      <c r="G44" s="3" t="s">
        <v>315</v>
      </c>
      <c r="I44" s="3" t="s">
        <v>339</v>
      </c>
    </row>
    <row r="45" spans="1:12" x14ac:dyDescent="0.2">
      <c r="G45" s="3" t="s">
        <v>546</v>
      </c>
      <c r="I45" s="3" t="s">
        <v>341</v>
      </c>
    </row>
    <row r="46" spans="1:12" x14ac:dyDescent="0.2">
      <c r="G46" s="3" t="s">
        <v>318</v>
      </c>
      <c r="I46" s="3" t="s">
        <v>343</v>
      </c>
    </row>
    <row r="47" spans="1:12" x14ac:dyDescent="0.2">
      <c r="G47" s="3" t="s">
        <v>320</v>
      </c>
      <c r="I47" s="3" t="s">
        <v>345</v>
      </c>
    </row>
    <row r="48" spans="1:12" x14ac:dyDescent="0.2">
      <c r="G48" s="3" t="s">
        <v>322</v>
      </c>
      <c r="I48" s="3" t="s">
        <v>347</v>
      </c>
    </row>
    <row r="49" spans="7:9" x14ac:dyDescent="0.2">
      <c r="G49" s="3" t="s">
        <v>549</v>
      </c>
      <c r="I49" s="3" t="s">
        <v>349</v>
      </c>
    </row>
    <row r="50" spans="7:9" x14ac:dyDescent="0.2">
      <c r="G50" s="3" t="s">
        <v>324</v>
      </c>
      <c r="I50" s="3" t="s">
        <v>351</v>
      </c>
    </row>
    <row r="51" spans="7:9" x14ac:dyDescent="0.2">
      <c r="G51" s="3" t="s">
        <v>326</v>
      </c>
      <c r="I51" s="3" t="s">
        <v>353</v>
      </c>
    </row>
    <row r="52" spans="7:9" x14ac:dyDescent="0.2">
      <c r="G52" s="3" t="s">
        <v>328</v>
      </c>
      <c r="I52" s="3" t="s">
        <v>355</v>
      </c>
    </row>
    <row r="53" spans="7:9" x14ac:dyDescent="0.2">
      <c r="G53" s="3" t="s">
        <v>330</v>
      </c>
      <c r="I53" s="3" t="s">
        <v>357</v>
      </c>
    </row>
    <row r="54" spans="7:9" x14ac:dyDescent="0.2">
      <c r="G54" s="3" t="s">
        <v>332</v>
      </c>
      <c r="I54" s="3" t="s">
        <v>359</v>
      </c>
    </row>
    <row r="55" spans="7:9" x14ac:dyDescent="0.2">
      <c r="G55" s="3" t="s">
        <v>334</v>
      </c>
      <c r="I55" s="3" t="s">
        <v>361</v>
      </c>
    </row>
    <row r="56" spans="7:9" x14ac:dyDescent="0.2">
      <c r="G56" s="3" t="s">
        <v>336</v>
      </c>
      <c r="I56" s="3" t="s">
        <v>363</v>
      </c>
    </row>
    <row r="57" spans="7:9" x14ac:dyDescent="0.2">
      <c r="G57" s="3" t="s">
        <v>338</v>
      </c>
      <c r="I57" s="3" t="s">
        <v>365</v>
      </c>
    </row>
    <row r="58" spans="7:9" x14ac:dyDescent="0.2">
      <c r="G58" s="3" t="s">
        <v>340</v>
      </c>
      <c r="I58" s="3" t="s">
        <v>367</v>
      </c>
    </row>
    <row r="59" spans="7:9" x14ac:dyDescent="0.2">
      <c r="G59" s="3" t="s">
        <v>342</v>
      </c>
      <c r="I59" s="3" t="s">
        <v>369</v>
      </c>
    </row>
    <row r="60" spans="7:9" x14ac:dyDescent="0.2">
      <c r="G60" s="3" t="s">
        <v>344</v>
      </c>
      <c r="I60" s="3" t="s">
        <v>371</v>
      </c>
    </row>
    <row r="61" spans="7:9" x14ac:dyDescent="0.2">
      <c r="G61" s="3" t="s">
        <v>562</v>
      </c>
      <c r="I61" s="3" t="s">
        <v>373</v>
      </c>
    </row>
    <row r="62" spans="7:9" x14ac:dyDescent="0.2">
      <c r="G62" s="3" t="s">
        <v>346</v>
      </c>
      <c r="I62" s="3" t="s">
        <v>375</v>
      </c>
    </row>
    <row r="63" spans="7:9" x14ac:dyDescent="0.2">
      <c r="G63" s="3" t="s">
        <v>348</v>
      </c>
      <c r="I63" s="3" t="s">
        <v>377</v>
      </c>
    </row>
    <row r="64" spans="7:9" x14ac:dyDescent="0.2">
      <c r="G64" s="3" t="s">
        <v>350</v>
      </c>
      <c r="I64" s="3" t="s">
        <v>379</v>
      </c>
    </row>
    <row r="65" spans="7:9" x14ac:dyDescent="0.2">
      <c r="G65" s="3" t="s">
        <v>352</v>
      </c>
      <c r="I65" s="3" t="s">
        <v>381</v>
      </c>
    </row>
    <row r="66" spans="7:9" x14ac:dyDescent="0.2">
      <c r="G66" s="3" t="s">
        <v>354</v>
      </c>
      <c r="I66" s="3" t="s">
        <v>383</v>
      </c>
    </row>
    <row r="67" spans="7:9" x14ac:dyDescent="0.2">
      <c r="G67" s="3" t="s">
        <v>356</v>
      </c>
      <c r="I67" s="3" t="s">
        <v>385</v>
      </c>
    </row>
    <row r="68" spans="7:9" x14ac:dyDescent="0.2">
      <c r="G68" s="3" t="s">
        <v>358</v>
      </c>
      <c r="I68" s="3" t="s">
        <v>387</v>
      </c>
    </row>
    <row r="69" spans="7:9" x14ac:dyDescent="0.2">
      <c r="G69" s="3" t="s">
        <v>360</v>
      </c>
      <c r="I69" s="3" t="s">
        <v>389</v>
      </c>
    </row>
    <row r="70" spans="7:9" x14ac:dyDescent="0.2">
      <c r="G70" s="3" t="s">
        <v>362</v>
      </c>
      <c r="I70" s="3" t="s">
        <v>391</v>
      </c>
    </row>
    <row r="71" spans="7:9" x14ac:dyDescent="0.2">
      <c r="G71" s="3" t="s">
        <v>364</v>
      </c>
      <c r="I71" s="3" t="s">
        <v>393</v>
      </c>
    </row>
    <row r="72" spans="7:9" x14ac:dyDescent="0.2">
      <c r="G72" s="3" t="s">
        <v>366</v>
      </c>
      <c r="I72" s="3" t="s">
        <v>395</v>
      </c>
    </row>
    <row r="73" spans="7:9" x14ac:dyDescent="0.2">
      <c r="G73" s="3" t="s">
        <v>368</v>
      </c>
      <c r="I73" s="3" t="s">
        <v>397</v>
      </c>
    </row>
    <row r="74" spans="7:9" x14ac:dyDescent="0.2">
      <c r="G74" s="3" t="s">
        <v>370</v>
      </c>
      <c r="I74" s="3" t="s">
        <v>399</v>
      </c>
    </row>
    <row r="75" spans="7:9" x14ac:dyDescent="0.2">
      <c r="G75" s="3" t="s">
        <v>554</v>
      </c>
      <c r="I75" s="3" t="s">
        <v>401</v>
      </c>
    </row>
    <row r="76" spans="7:9" x14ac:dyDescent="0.2">
      <c r="G76" s="3" t="s">
        <v>372</v>
      </c>
      <c r="I76" s="3" t="s">
        <v>403</v>
      </c>
    </row>
    <row r="77" spans="7:9" x14ac:dyDescent="0.2">
      <c r="G77" s="3" t="s">
        <v>374</v>
      </c>
      <c r="I77" s="3" t="s">
        <v>405</v>
      </c>
    </row>
    <row r="78" spans="7:9" x14ac:dyDescent="0.2">
      <c r="G78" s="3" t="s">
        <v>376</v>
      </c>
      <c r="I78" s="3" t="s">
        <v>407</v>
      </c>
    </row>
    <row r="79" spans="7:9" x14ac:dyDescent="0.2">
      <c r="G79" s="3" t="s">
        <v>378</v>
      </c>
      <c r="I79" s="3" t="s">
        <v>409</v>
      </c>
    </row>
    <row r="80" spans="7:9" x14ac:dyDescent="0.2">
      <c r="G80" s="3" t="s">
        <v>380</v>
      </c>
      <c r="I80" s="3" t="s">
        <v>411</v>
      </c>
    </row>
    <row r="81" spans="7:9" x14ac:dyDescent="0.2">
      <c r="G81" s="3" t="s">
        <v>382</v>
      </c>
      <c r="I81" s="3" t="s">
        <v>413</v>
      </c>
    </row>
    <row r="82" spans="7:9" x14ac:dyDescent="0.2">
      <c r="G82" s="3" t="s">
        <v>384</v>
      </c>
      <c r="I82" s="3" t="s">
        <v>415</v>
      </c>
    </row>
    <row r="83" spans="7:9" x14ac:dyDescent="0.2">
      <c r="G83" s="3" t="s">
        <v>386</v>
      </c>
      <c r="I83" s="3" t="s">
        <v>417</v>
      </c>
    </row>
    <row r="84" spans="7:9" x14ac:dyDescent="0.2">
      <c r="G84" s="3" t="s">
        <v>388</v>
      </c>
      <c r="I84" s="3" t="s">
        <v>419</v>
      </c>
    </row>
    <row r="85" spans="7:9" x14ac:dyDescent="0.2">
      <c r="G85" s="3" t="s">
        <v>390</v>
      </c>
      <c r="I85" s="3" t="s">
        <v>421</v>
      </c>
    </row>
    <row r="86" spans="7:9" x14ac:dyDescent="0.2">
      <c r="G86" s="3" t="s">
        <v>392</v>
      </c>
      <c r="I86" s="3" t="s">
        <v>423</v>
      </c>
    </row>
    <row r="87" spans="7:9" x14ac:dyDescent="0.2">
      <c r="G87" s="3" t="s">
        <v>394</v>
      </c>
      <c r="I87" s="3" t="s">
        <v>425</v>
      </c>
    </row>
    <row r="88" spans="7:9" x14ac:dyDescent="0.2">
      <c r="G88" s="3" t="s">
        <v>396</v>
      </c>
      <c r="I88" s="3" t="s">
        <v>427</v>
      </c>
    </row>
    <row r="89" spans="7:9" x14ac:dyDescent="0.2">
      <c r="G89" s="3" t="s">
        <v>398</v>
      </c>
      <c r="I89" s="3" t="s">
        <v>429</v>
      </c>
    </row>
    <row r="90" spans="7:9" x14ac:dyDescent="0.2">
      <c r="G90" s="3" t="s">
        <v>400</v>
      </c>
      <c r="I90" s="3" t="s">
        <v>431</v>
      </c>
    </row>
    <row r="91" spans="7:9" x14ac:dyDescent="0.2">
      <c r="G91" s="3" t="s">
        <v>402</v>
      </c>
      <c r="I91" s="3" t="s">
        <v>433</v>
      </c>
    </row>
    <row r="92" spans="7:9" x14ac:dyDescent="0.2">
      <c r="G92" s="3" t="s">
        <v>404</v>
      </c>
      <c r="I92" s="3" t="s">
        <v>435</v>
      </c>
    </row>
    <row r="93" spans="7:9" x14ac:dyDescent="0.2">
      <c r="G93" s="3" t="s">
        <v>406</v>
      </c>
      <c r="I93" s="3" t="s">
        <v>437</v>
      </c>
    </row>
    <row r="94" spans="7:9" x14ac:dyDescent="0.2">
      <c r="G94" s="3" t="s">
        <v>408</v>
      </c>
      <c r="I94" s="3" t="s">
        <v>439</v>
      </c>
    </row>
    <row r="95" spans="7:9" x14ac:dyDescent="0.2">
      <c r="G95" s="3" t="s">
        <v>410</v>
      </c>
      <c r="I95" s="3" t="s">
        <v>441</v>
      </c>
    </row>
    <row r="96" spans="7:9" x14ac:dyDescent="0.2">
      <c r="G96" s="3" t="s">
        <v>412</v>
      </c>
      <c r="I96" s="3" t="s">
        <v>443</v>
      </c>
    </row>
    <row r="97" spans="7:9" x14ac:dyDescent="0.2">
      <c r="G97" s="3" t="s">
        <v>414</v>
      </c>
      <c r="I97" s="3" t="s">
        <v>445</v>
      </c>
    </row>
    <row r="98" spans="7:9" x14ac:dyDescent="0.2">
      <c r="G98" s="3" t="s">
        <v>547</v>
      </c>
      <c r="I98" s="3" t="s">
        <v>447</v>
      </c>
    </row>
    <row r="99" spans="7:9" x14ac:dyDescent="0.2">
      <c r="G99" s="3" t="s">
        <v>540</v>
      </c>
    </row>
    <row r="100" spans="7:9" x14ac:dyDescent="0.2">
      <c r="G100" s="3" t="s">
        <v>566</v>
      </c>
    </row>
    <row r="101" spans="7:9" x14ac:dyDescent="0.2">
      <c r="G101" s="3" t="s">
        <v>416</v>
      </c>
    </row>
    <row r="102" spans="7:9" x14ac:dyDescent="0.2">
      <c r="G102" s="3" t="s">
        <v>418</v>
      </c>
    </row>
    <row r="103" spans="7:9" x14ac:dyDescent="0.2">
      <c r="G103" s="3" t="s">
        <v>420</v>
      </c>
    </row>
    <row r="104" spans="7:9" x14ac:dyDescent="0.2">
      <c r="G104" s="3" t="s">
        <v>422</v>
      </c>
    </row>
    <row r="105" spans="7:9" x14ac:dyDescent="0.2">
      <c r="G105" s="3" t="s">
        <v>424</v>
      </c>
    </row>
    <row r="106" spans="7:9" x14ac:dyDescent="0.2">
      <c r="G106" s="3" t="s">
        <v>426</v>
      </c>
    </row>
    <row r="107" spans="7:9" x14ac:dyDescent="0.2">
      <c r="G107" s="3" t="s">
        <v>428</v>
      </c>
    </row>
    <row r="108" spans="7:9" x14ac:dyDescent="0.2">
      <c r="G108" s="3" t="s">
        <v>544</v>
      </c>
    </row>
    <row r="109" spans="7:9" x14ac:dyDescent="0.2">
      <c r="G109" s="3" t="s">
        <v>430</v>
      </c>
    </row>
    <row r="110" spans="7:9" x14ac:dyDescent="0.2">
      <c r="G110" s="3" t="s">
        <v>432</v>
      </c>
    </row>
    <row r="111" spans="7:9" x14ac:dyDescent="0.2">
      <c r="G111" s="3" t="s">
        <v>434</v>
      </c>
    </row>
    <row r="112" spans="7:9" x14ac:dyDescent="0.2">
      <c r="G112" s="3" t="s">
        <v>436</v>
      </c>
    </row>
    <row r="113" spans="7:7" x14ac:dyDescent="0.2">
      <c r="G113" s="3" t="s">
        <v>438</v>
      </c>
    </row>
    <row r="114" spans="7:7" x14ac:dyDescent="0.2">
      <c r="G114" s="3" t="s">
        <v>440</v>
      </c>
    </row>
    <row r="115" spans="7:7" x14ac:dyDescent="0.2">
      <c r="G115" s="3" t="s">
        <v>442</v>
      </c>
    </row>
    <row r="116" spans="7:7" x14ac:dyDescent="0.2">
      <c r="G116" s="3" t="s">
        <v>539</v>
      </c>
    </row>
    <row r="117" spans="7:7" x14ac:dyDescent="0.2">
      <c r="G117" s="3" t="s">
        <v>444</v>
      </c>
    </row>
    <row r="118" spans="7:7" x14ac:dyDescent="0.2">
      <c r="G118" s="3" t="s">
        <v>446</v>
      </c>
    </row>
    <row r="119" spans="7:7" x14ac:dyDescent="0.2">
      <c r="G119" s="3" t="s">
        <v>448</v>
      </c>
    </row>
    <row r="120" spans="7:7" x14ac:dyDescent="0.2">
      <c r="G120" s="3" t="s">
        <v>449</v>
      </c>
    </row>
    <row r="121" spans="7:7" x14ac:dyDescent="0.2">
      <c r="G121" s="3" t="s">
        <v>450</v>
      </c>
    </row>
    <row r="122" spans="7:7" x14ac:dyDescent="0.2">
      <c r="G122" s="3" t="s">
        <v>451</v>
      </c>
    </row>
    <row r="123" spans="7:7" x14ac:dyDescent="0.2">
      <c r="G123" s="3" t="s">
        <v>452</v>
      </c>
    </row>
    <row r="124" spans="7:7" x14ac:dyDescent="0.2">
      <c r="G124" s="3" t="s">
        <v>551</v>
      </c>
    </row>
    <row r="125" spans="7:7" x14ac:dyDescent="0.2">
      <c r="G125" s="3" t="s">
        <v>453</v>
      </c>
    </row>
    <row r="126" spans="7:7" x14ac:dyDescent="0.2">
      <c r="G126" s="3" t="s">
        <v>454</v>
      </c>
    </row>
    <row r="127" spans="7:7" x14ac:dyDescent="0.2">
      <c r="G127" s="3" t="s">
        <v>455</v>
      </c>
    </row>
    <row r="128" spans="7:7" x14ac:dyDescent="0.2">
      <c r="G128" s="3" t="s">
        <v>456</v>
      </c>
    </row>
    <row r="129" spans="7:7" x14ac:dyDescent="0.2">
      <c r="G129" s="3" t="s">
        <v>457</v>
      </c>
    </row>
    <row r="130" spans="7:7" x14ac:dyDescent="0.2">
      <c r="G130" s="3" t="s">
        <v>458</v>
      </c>
    </row>
    <row r="131" spans="7:7" x14ac:dyDescent="0.2">
      <c r="G131" s="3" t="s">
        <v>459</v>
      </c>
    </row>
    <row r="132" spans="7:7" x14ac:dyDescent="0.2">
      <c r="G132" s="3" t="s">
        <v>460</v>
      </c>
    </row>
    <row r="133" spans="7:7" x14ac:dyDescent="0.2">
      <c r="G133" s="3" t="s">
        <v>461</v>
      </c>
    </row>
    <row r="134" spans="7:7" x14ac:dyDescent="0.2">
      <c r="G134" s="3" t="s">
        <v>462</v>
      </c>
    </row>
    <row r="135" spans="7:7" x14ac:dyDescent="0.2">
      <c r="G135" s="3" t="s">
        <v>463</v>
      </c>
    </row>
    <row r="136" spans="7:7" x14ac:dyDescent="0.2">
      <c r="G136" s="3" t="s">
        <v>570</v>
      </c>
    </row>
    <row r="137" spans="7:7" x14ac:dyDescent="0.2">
      <c r="G137" s="3" t="s">
        <v>464</v>
      </c>
    </row>
    <row r="138" spans="7:7" x14ac:dyDescent="0.2">
      <c r="G138" s="3" t="s">
        <v>465</v>
      </c>
    </row>
    <row r="139" spans="7:7" x14ac:dyDescent="0.2">
      <c r="G139" s="3" t="s">
        <v>466</v>
      </c>
    </row>
    <row r="140" spans="7:7" x14ac:dyDescent="0.2">
      <c r="G140" s="3" t="s">
        <v>467</v>
      </c>
    </row>
    <row r="141" spans="7:7" x14ac:dyDescent="0.2">
      <c r="G141" s="3" t="s">
        <v>536</v>
      </c>
    </row>
    <row r="142" spans="7:7" x14ac:dyDescent="0.2">
      <c r="G142" s="3" t="s">
        <v>468</v>
      </c>
    </row>
    <row r="143" spans="7:7" x14ac:dyDescent="0.2">
      <c r="G143" s="3" t="s">
        <v>555</v>
      </c>
    </row>
    <row r="144" spans="7:7" x14ac:dyDescent="0.2">
      <c r="G144" s="3" t="s">
        <v>469</v>
      </c>
    </row>
    <row r="145" spans="7:7" x14ac:dyDescent="0.2">
      <c r="G145" s="3" t="s">
        <v>470</v>
      </c>
    </row>
    <row r="146" spans="7:7" x14ac:dyDescent="0.2">
      <c r="G146" s="3" t="s">
        <v>471</v>
      </c>
    </row>
    <row r="147" spans="7:7" x14ac:dyDescent="0.2">
      <c r="G147" s="3" t="s">
        <v>472</v>
      </c>
    </row>
    <row r="148" spans="7:7" x14ac:dyDescent="0.2">
      <c r="G148" s="3" t="s">
        <v>473</v>
      </c>
    </row>
    <row r="149" spans="7:7" x14ac:dyDescent="0.2">
      <c r="G149" s="3" t="s">
        <v>532</v>
      </c>
    </row>
    <row r="150" spans="7:7" x14ac:dyDescent="0.2">
      <c r="G150" s="3" t="s">
        <v>537</v>
      </c>
    </row>
    <row r="151" spans="7:7" x14ac:dyDescent="0.2">
      <c r="G151" s="3" t="s">
        <v>474</v>
      </c>
    </row>
    <row r="152" spans="7:7" x14ac:dyDescent="0.2">
      <c r="G152" s="3" t="s">
        <v>475</v>
      </c>
    </row>
    <row r="153" spans="7:7" x14ac:dyDescent="0.2">
      <c r="G153" s="3" t="s">
        <v>476</v>
      </c>
    </row>
    <row r="154" spans="7:7" x14ac:dyDescent="0.2">
      <c r="G154" s="3" t="s">
        <v>542</v>
      </c>
    </row>
    <row r="155" spans="7:7" x14ac:dyDescent="0.2">
      <c r="G155" s="3" t="s">
        <v>477</v>
      </c>
    </row>
    <row r="156" spans="7:7" x14ac:dyDescent="0.2">
      <c r="G156" s="3" t="s">
        <v>478</v>
      </c>
    </row>
    <row r="157" spans="7:7" x14ac:dyDescent="0.2">
      <c r="G157" s="3" t="s">
        <v>479</v>
      </c>
    </row>
    <row r="158" spans="7:7" x14ac:dyDescent="0.2">
      <c r="G158" s="3" t="s">
        <v>480</v>
      </c>
    </row>
    <row r="159" spans="7:7" x14ac:dyDescent="0.2">
      <c r="G159" s="3" t="s">
        <v>481</v>
      </c>
    </row>
    <row r="160" spans="7:7" x14ac:dyDescent="0.2">
      <c r="G160" s="3" t="s">
        <v>482</v>
      </c>
    </row>
    <row r="161" spans="7:7" x14ac:dyDescent="0.2">
      <c r="G161" s="3" t="s">
        <v>483</v>
      </c>
    </row>
    <row r="162" spans="7:7" x14ac:dyDescent="0.2">
      <c r="G162" s="3" t="s">
        <v>484</v>
      </c>
    </row>
    <row r="163" spans="7:7" x14ac:dyDescent="0.2">
      <c r="G163" s="3" t="s">
        <v>571</v>
      </c>
    </row>
    <row r="164" spans="7:7" x14ac:dyDescent="0.2">
      <c r="G164" s="3" t="s">
        <v>556</v>
      </c>
    </row>
    <row r="165" spans="7:7" x14ac:dyDescent="0.2">
      <c r="G165" s="3" t="s">
        <v>485</v>
      </c>
    </row>
    <row r="166" spans="7:7" x14ac:dyDescent="0.2">
      <c r="G166" s="3" t="s">
        <v>486</v>
      </c>
    </row>
    <row r="167" spans="7:7" x14ac:dyDescent="0.2">
      <c r="G167" s="3" t="s">
        <v>561</v>
      </c>
    </row>
    <row r="168" spans="7:7" x14ac:dyDescent="0.2">
      <c r="G168" s="3" t="s">
        <v>487</v>
      </c>
    </row>
    <row r="169" spans="7:7" x14ac:dyDescent="0.2">
      <c r="G169" s="3" t="s">
        <v>488</v>
      </c>
    </row>
    <row r="170" spans="7:7" x14ac:dyDescent="0.2">
      <c r="G170" s="3" t="s">
        <v>535</v>
      </c>
    </row>
    <row r="171" spans="7:7" x14ac:dyDescent="0.2">
      <c r="G171" s="3" t="s">
        <v>567</v>
      </c>
    </row>
    <row r="172" spans="7:7" x14ac:dyDescent="0.2">
      <c r="G172" s="3" t="s">
        <v>489</v>
      </c>
    </row>
    <row r="173" spans="7:7" x14ac:dyDescent="0.2">
      <c r="G173" s="3" t="s">
        <v>490</v>
      </c>
    </row>
    <row r="174" spans="7:7" x14ac:dyDescent="0.2">
      <c r="G174" s="3" t="s">
        <v>543</v>
      </c>
    </row>
    <row r="175" spans="7:7" x14ac:dyDescent="0.2">
      <c r="G175" s="3" t="s">
        <v>491</v>
      </c>
    </row>
    <row r="176" spans="7:7" x14ac:dyDescent="0.2">
      <c r="G176" s="3" t="s">
        <v>568</v>
      </c>
    </row>
    <row r="177" spans="7:7" x14ac:dyDescent="0.2">
      <c r="G177" s="3" t="s">
        <v>492</v>
      </c>
    </row>
    <row r="178" spans="7:7" x14ac:dyDescent="0.2">
      <c r="G178" s="3" t="s">
        <v>558</v>
      </c>
    </row>
    <row r="179" spans="7:7" x14ac:dyDescent="0.2">
      <c r="G179" s="3" t="s">
        <v>553</v>
      </c>
    </row>
    <row r="180" spans="7:7" x14ac:dyDescent="0.2">
      <c r="G180" s="3" t="s">
        <v>545</v>
      </c>
    </row>
    <row r="181" spans="7:7" x14ac:dyDescent="0.2">
      <c r="G181" s="3" t="s">
        <v>493</v>
      </c>
    </row>
    <row r="182" spans="7:7" x14ac:dyDescent="0.2">
      <c r="G182" s="3" t="s">
        <v>494</v>
      </c>
    </row>
    <row r="183" spans="7:7" x14ac:dyDescent="0.2">
      <c r="G183" s="3" t="s">
        <v>495</v>
      </c>
    </row>
    <row r="184" spans="7:7" x14ac:dyDescent="0.2">
      <c r="G184" s="3" t="s">
        <v>496</v>
      </c>
    </row>
    <row r="185" spans="7:7" x14ac:dyDescent="0.2">
      <c r="G185" s="3" t="s">
        <v>497</v>
      </c>
    </row>
    <row r="186" spans="7:7" x14ac:dyDescent="0.2">
      <c r="G186" s="3" t="s">
        <v>498</v>
      </c>
    </row>
    <row r="187" spans="7:7" x14ac:dyDescent="0.2">
      <c r="G187" s="3" t="s">
        <v>499</v>
      </c>
    </row>
    <row r="188" spans="7:7" x14ac:dyDescent="0.2">
      <c r="G188" s="3" t="s">
        <v>500</v>
      </c>
    </row>
    <row r="189" spans="7:7" x14ac:dyDescent="0.2">
      <c r="G189" s="3" t="s">
        <v>501</v>
      </c>
    </row>
    <row r="190" spans="7:7" x14ac:dyDescent="0.2">
      <c r="G190" s="3" t="s">
        <v>502</v>
      </c>
    </row>
    <row r="191" spans="7:7" x14ac:dyDescent="0.2">
      <c r="G191" s="3" t="s">
        <v>503</v>
      </c>
    </row>
    <row r="192" spans="7:7" x14ac:dyDescent="0.2">
      <c r="G192" s="3" t="s">
        <v>504</v>
      </c>
    </row>
    <row r="193" spans="7:7" x14ac:dyDescent="0.2">
      <c r="G193" s="3" t="s">
        <v>569</v>
      </c>
    </row>
    <row r="194" spans="7:7" x14ac:dyDescent="0.2">
      <c r="G194" s="3" t="s">
        <v>563</v>
      </c>
    </row>
    <row r="195" spans="7:7" x14ac:dyDescent="0.2">
      <c r="G195" s="3" t="s">
        <v>505</v>
      </c>
    </row>
    <row r="196" spans="7:7" x14ac:dyDescent="0.2">
      <c r="G196" s="3" t="s">
        <v>506</v>
      </c>
    </row>
    <row r="197" spans="7:7" x14ac:dyDescent="0.2">
      <c r="G197" s="3" t="s">
        <v>507</v>
      </c>
    </row>
    <row r="198" spans="7:7" x14ac:dyDescent="0.2">
      <c r="G198" s="3" t="s">
        <v>508</v>
      </c>
    </row>
    <row r="199" spans="7:7" x14ac:dyDescent="0.2">
      <c r="G199" s="3" t="s">
        <v>560</v>
      </c>
    </row>
    <row r="200" spans="7:7" x14ac:dyDescent="0.2">
      <c r="G200" s="3" t="s">
        <v>509</v>
      </c>
    </row>
    <row r="201" spans="7:7" x14ac:dyDescent="0.2">
      <c r="G201" s="3" t="s">
        <v>510</v>
      </c>
    </row>
    <row r="202" spans="7:7" x14ac:dyDescent="0.2">
      <c r="G202" s="3" t="s">
        <v>511</v>
      </c>
    </row>
    <row r="203" spans="7:7" x14ac:dyDescent="0.2">
      <c r="G203" s="3" t="s">
        <v>512</v>
      </c>
    </row>
    <row r="204" spans="7:7" x14ac:dyDescent="0.2">
      <c r="G204" s="3" t="s">
        <v>513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2026-10-20T05:54:06Z</dcterms:modified>
  <cp:category/>
  <cp:contentStatus/>
</cp:coreProperties>
</file>