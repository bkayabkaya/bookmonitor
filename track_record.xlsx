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8C960501-C645-C74A-A582-7AC72D58DAA7}" xr6:coauthVersionLast="47" xr6:coauthVersionMax="47" xr10:uidLastSave="{00000000-0000-0000-0000-000000000000}"/>
  <bookViews>
    <workbookView xWindow="0" yWindow="500" windowWidth="35840" windowHeight="207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61" i="7" l="1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H7" i="3" a="1"/>
  <c r="H7" i="3" s="1"/>
  <c r="H6" i="3" a="1"/>
  <c r="H6" i="3" s="1"/>
  <c r="H5" i="3"/>
  <c r="H3" i="3"/>
  <c r="H2" i="3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D62" i="3" l="1"/>
  <c r="B62" i="3"/>
  <c r="C62" i="3"/>
  <c r="S30" i="1"/>
  <c r="S29" i="1"/>
  <c r="S19" i="1"/>
  <c r="D61" i="3"/>
  <c r="C61" i="3"/>
  <c r="B61" i="3"/>
  <c r="U36" i="1"/>
  <c r="S31" i="1"/>
  <c r="D60" i="3" l="1"/>
  <c r="C60" i="3"/>
  <c r="B60" i="3"/>
  <c r="V36" i="1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C19" i="1"/>
  <c r="D14" i="1"/>
  <c r="C12" i="1"/>
  <c r="D12" i="1" s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<sst xmlns="http://schemas.openxmlformats.org/spreadsheetml/2006/main" count="280" uniqueCount="138">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</sst>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5" fillId="3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1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3" fontId="0" fillId="6" borderId="0" xfId="0" applyNumberFormat="1" applyFill="1" applyAlignment="1">
      <alignment horizontal="center"/>
    </xf>
    <xf numFmtId="3" fontId="2" fillId="6" borderId="0" xfId="0" applyNumberFormat="1" applyFont="1" applyFill="1" applyAlignment="1">
      <alignment horizontal="center"/>
    </xf>
    <xf numFmtId="2" fontId="2" fillId="6" borderId="0" xfId="0" applyNumberFormat="1" applyFont="1" applyFill="1" applyAlignment="1">
      <alignment horizontal="center"/>
    </xf>
    <xf numFmtId="9" fontId="2" fillId="6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7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3" fontId="2" fillId="7" borderId="0" xfId="0" applyNumberFormat="1" applyFont="1" applyFill="1" applyAlignment="1">
      <alignment horizontal="center"/>
    </xf>
    <xf numFmtId="10" fontId="1" fillId="7" borderId="0" xfId="0" applyNumberFormat="1" applyFont="1" applyFill="1" applyAlignment="1">
      <alignment horizontal="center"/>
    </xf>
    <xf numFmtId="3" fontId="1" fillId="7" borderId="0" xfId="0" applyNumberFormat="1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right"/>
    </xf>
    <xf numFmtId="10" fontId="2" fillId="7" borderId="0" xfId="0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3" fontId="0" fillId="7" borderId="0" xfId="0" applyNumberFormat="1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164" fontId="2" fillId="8" borderId="0" xfId="0" applyNumberFormat="1" applyFont="1" applyFill="1" applyAlignment="1">
      <alignment horizontal="center"/>
    </xf>
    <xf numFmtId="0" fontId="2" fillId="8" borderId="0" xfId="0" applyFont="1" applyFill="1" applyAlignment="1">
      <alignment horizontal="center"/>
    </xf>
    <xf numFmtId="164" fontId="1" fillId="8" borderId="0" xfId="0" applyNumberFormat="1" applyFont="1" applyFill="1" applyAlignment="1">
      <alignment horizontal="center"/>
    </xf>
    <xf numFmtId="3" fontId="0" fillId="8" borderId="0" xfId="0" applyNumberFormat="1" applyFill="1" applyAlignment="1">
      <alignment horizontal="center"/>
    </xf>
    <xf numFmtId="3" fontId="2" fillId="8" borderId="0" xfId="0" applyNumberFormat="1" applyFont="1" applyFill="1" applyAlignment="1">
      <alignment horizontal="center"/>
    </xf>
    <xf numFmtId="4" fontId="2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Normal="100" workbookViewId="0">
      <pane ySplit="1" topLeftCell="A2" activePane="bottomLeft" state="frozen"/>
      <selection activeCell="D1" sqref="D1"/>
      <selection pane="bottomLeft" activeCell="B12" sqref="B12"/>
    </sheetView>
  </sheetViews>
  <sheetFormatPr baseColWidth="10" defaultColWidth="9.1640625" defaultRowHeight="16" x14ac:dyDescent="0.2"/>
  <cols>
    <col min="1" max="1" width="8" style="18" bestFit="1" customWidth="1"/>
    <col min="2" max="3" width="11.83203125" style="27" bestFit="1" customWidth="1"/>
    <col min="4" max="4" width="13" style="28" bestFit="1" customWidth="1"/>
    <col min="5" max="5" width="7.1640625" style="18" bestFit="1" customWidth="1"/>
    <col min="6" max="6" width="43.33203125" style="18" bestFit="1" customWidth="1"/>
    <col min="7" max="7" width="11.5" style="18" bestFit="1" customWidth="1"/>
    <col min="8" max="8" width="31.5" style="18" bestFit="1" customWidth="1"/>
    <col min="9" max="9" width="10.33203125" style="18" bestFit="1" customWidth="1"/>
    <col min="10" max="10" width="10.33203125" style="18" customWidth="1"/>
    <col min="11" max="11" width="9.5" style="18" bestFit="1" customWidth="1"/>
    <col min="12" max="12" width="9.33203125" style="18" bestFit="1" customWidth="1"/>
    <col min="13" max="13" width="11.1640625" style="18" bestFit="1" customWidth="1"/>
    <col min="14" max="14" width="10.33203125" style="18" bestFit="1" customWidth="1"/>
    <col min="15" max="15" width="10.33203125" style="18" customWidth="1"/>
    <col min="16" max="16" width="11.5" style="18" bestFit="1" customWidth="1"/>
    <col min="17" max="17" width="7.33203125" style="18" bestFit="1" customWidth="1"/>
    <col min="18" max="18" width="8" style="18" bestFit="1" customWidth="1"/>
    <col min="19" max="19" width="13.5" style="18" bestFit="1" customWidth="1"/>
    <col min="20" max="20" width="9.83203125" style="18" bestFit="1" customWidth="1"/>
    <col min="21" max="21" width="12.83203125" style="18" bestFit="1" customWidth="1"/>
    <col min="22" max="22" width="14.6640625" style="18" bestFit="1" customWidth="1"/>
    <col min="23" max="16384" width="9.1640625" style="18"/>
  </cols>
  <sheetData>
    <row r="1" spans="1:22" s="3" customFormat="1" x14ac:dyDescent="0.2">
      <c r="A1" s="3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</row>
    <row r="2" spans="1:22" x14ac:dyDescent="0.2">
      <c r="A2" s="18">
        <v>1</v>
      </c>
      <c r="B2" s="19">
        <v>46175</v>
      </c>
      <c r="C2" s="19">
        <v>46181</v>
      </c>
      <c r="D2" s="20">
        <f t="shared" ref="D2:D25" si="0">C2-B2</f>
        <v>6</v>
      </c>
      <c r="E2" s="18" t="s">
        <v>21</v>
      </c>
      <c r="F2" s="21" t="s">
        <v>22</v>
      </c>
      <c r="G2" s="22" t="s">
        <v>23</v>
      </c>
      <c r="H2" s="23" t="s">
        <v>24</v>
      </c>
      <c r="I2" s="22" t="s">
        <v>25</v>
      </c>
      <c r="J2" s="22" t="s">
        <v>25</v>
      </c>
      <c r="K2" s="18" t="s">
        <v>21</v>
      </c>
      <c r="L2" s="18">
        <v>-100</v>
      </c>
      <c r="M2" s="18">
        <v>1057.1199999999999</v>
      </c>
      <c r="N2" s="18">
        <v>941.37</v>
      </c>
      <c r="O2" s="18">
        <f t="shared" ref="O2:O11" si="1">N2</f>
        <v>941.37</v>
      </c>
      <c r="P2" s="24">
        <v>105712</v>
      </c>
      <c r="Q2" s="18">
        <v>2.94</v>
      </c>
      <c r="R2" s="18">
        <v>1</v>
      </c>
      <c r="S2" s="25">
        <f t="shared" ref="S2:S12" si="2">IF(R2=1, ABS(N2-M2)/M2, 0)</f>
        <v>0.10949561071590727</v>
      </c>
      <c r="T2" s="18">
        <v>11575</v>
      </c>
      <c r="U2" s="4">
        <v>11575</v>
      </c>
    </row>
    <row r="3" spans="1:22" x14ac:dyDescent="0.2">
      <c r="A3" s="22">
        <v>2</v>
      </c>
      <c r="B3" s="19">
        <v>46177</v>
      </c>
      <c r="C3" s="19">
        <v>46185</v>
      </c>
      <c r="D3" s="20">
        <f t="shared" si="0"/>
        <v>8</v>
      </c>
      <c r="E3" s="22" t="s">
        <v>26</v>
      </c>
      <c r="F3" s="23" t="s">
        <v>27</v>
      </c>
      <c r="G3" s="22" t="s">
        <v>23</v>
      </c>
      <c r="H3" s="23" t="s">
        <v>24</v>
      </c>
      <c r="I3" s="22" t="s">
        <v>25</v>
      </c>
      <c r="J3" s="22" t="s">
        <v>25</v>
      </c>
      <c r="K3" s="22" t="s">
        <v>26</v>
      </c>
      <c r="L3" s="22">
        <v>-450</v>
      </c>
      <c r="M3" s="22">
        <v>308.14999999999998</v>
      </c>
      <c r="N3" s="22">
        <v>317.27260000000001</v>
      </c>
      <c r="O3" s="18">
        <f t="shared" si="1"/>
        <v>317.27260000000001</v>
      </c>
      <c r="P3" s="26">
        <v>138667.5</v>
      </c>
      <c r="Q3" s="22">
        <v>-7.92</v>
      </c>
      <c r="R3" s="22">
        <v>0</v>
      </c>
      <c r="S3" s="25">
        <f t="shared" si="2"/>
        <v>0</v>
      </c>
      <c r="T3" s="22">
        <v>-4105.18</v>
      </c>
      <c r="U3" s="5">
        <v>-4105.18</v>
      </c>
    </row>
    <row r="4" spans="1:22" x14ac:dyDescent="0.2">
      <c r="A4" s="18">
        <v>3</v>
      </c>
      <c r="B4" s="19">
        <v>46178</v>
      </c>
      <c r="C4" s="19">
        <v>46183</v>
      </c>
      <c r="D4" s="20">
        <v>20</v>
      </c>
      <c r="E4" s="18" t="s">
        <v>28</v>
      </c>
      <c r="F4" s="21" t="s">
        <v>29</v>
      </c>
      <c r="G4" s="18" t="s">
        <v>30</v>
      </c>
      <c r="H4" s="21" t="s">
        <v>31</v>
      </c>
      <c r="I4" s="18" t="s">
        <v>32</v>
      </c>
      <c r="J4" s="18" t="s">
        <v>120</v>
      </c>
      <c r="K4" s="18" t="s">
        <v>33</v>
      </c>
      <c r="L4" s="18">
        <v>2</v>
      </c>
      <c r="M4" s="18">
        <v>66.334999999999994</v>
      </c>
      <c r="N4" s="18">
        <v>63</v>
      </c>
      <c r="O4" s="18">
        <f t="shared" si="1"/>
        <v>63</v>
      </c>
      <c r="P4" s="24">
        <v>663350</v>
      </c>
      <c r="Q4" s="18">
        <v>10.08</v>
      </c>
      <c r="R4" s="18">
        <v>1</v>
      </c>
      <c r="S4" s="25">
        <f t="shared" si="2"/>
        <v>5.0275118715610072E-2</v>
      </c>
      <c r="T4" s="18">
        <v>-33350</v>
      </c>
      <c r="U4" s="4">
        <v>0</v>
      </c>
    </row>
    <row r="5" spans="1:22" x14ac:dyDescent="0.2">
      <c r="A5" s="18">
        <v>4</v>
      </c>
      <c r="B5" s="19">
        <v>46181</v>
      </c>
      <c r="C5" s="19">
        <v>46182</v>
      </c>
      <c r="D5" s="20">
        <f t="shared" si="0"/>
        <v>1</v>
      </c>
      <c r="E5" s="18" t="s">
        <v>34</v>
      </c>
      <c r="F5" s="21" t="s">
        <v>35</v>
      </c>
      <c r="G5" s="22" t="s">
        <v>23</v>
      </c>
      <c r="H5" s="23" t="s">
        <v>24</v>
      </c>
      <c r="I5" s="18" t="s">
        <v>32</v>
      </c>
      <c r="J5" s="18" t="s">
        <v>128</v>
      </c>
      <c r="K5" s="18" t="s">
        <v>34</v>
      </c>
      <c r="L5" s="18">
        <v>10</v>
      </c>
      <c r="M5" s="18">
        <v>1.1535</v>
      </c>
      <c r="N5" s="18">
        <v>1.1579600000000001</v>
      </c>
      <c r="O5" s="18">
        <f t="shared" si="1"/>
        <v>1.1579600000000001</v>
      </c>
      <c r="P5" s="24">
        <v>2894900</v>
      </c>
      <c r="Q5" s="18">
        <v>-98.8</v>
      </c>
      <c r="R5" s="18">
        <v>1</v>
      </c>
      <c r="S5" s="25">
        <f t="shared" si="2"/>
        <v>3.8664932813178418E-3</v>
      </c>
      <c r="T5" s="18">
        <v>11150</v>
      </c>
      <c r="U5" s="4">
        <v>11150</v>
      </c>
    </row>
    <row r="6" spans="1:22" x14ac:dyDescent="0.2">
      <c r="A6" s="18">
        <v>3</v>
      </c>
      <c r="B6" s="19">
        <v>46183</v>
      </c>
      <c r="C6" s="19">
        <v>46203</v>
      </c>
      <c r="D6" s="20">
        <v>0</v>
      </c>
      <c r="E6" s="18" t="s">
        <v>36</v>
      </c>
      <c r="F6" s="21" t="s">
        <v>37</v>
      </c>
      <c r="G6" s="18" t="s">
        <v>30</v>
      </c>
      <c r="H6" s="21" t="s">
        <v>31</v>
      </c>
      <c r="I6" s="18" t="s">
        <v>32</v>
      </c>
      <c r="J6" s="18" t="s">
        <v>120</v>
      </c>
      <c r="K6" s="18" t="s">
        <v>38</v>
      </c>
      <c r="L6" s="18">
        <v>3</v>
      </c>
      <c r="M6" s="18">
        <v>61.529200000000003</v>
      </c>
      <c r="N6" s="18">
        <v>66.92</v>
      </c>
      <c r="O6" s="18">
        <f t="shared" si="1"/>
        <v>66.92</v>
      </c>
      <c r="P6" s="24">
        <v>461468.75</v>
      </c>
      <c r="Q6" s="18">
        <v>14.22</v>
      </c>
      <c r="R6" s="18">
        <v>1</v>
      </c>
      <c r="S6" s="25">
        <f t="shared" si="2"/>
        <v>8.761368585972186E-2</v>
      </c>
      <c r="T6" s="18">
        <v>40406.25</v>
      </c>
      <c r="U6" s="4">
        <v>6343</v>
      </c>
    </row>
    <row r="7" spans="1:22" x14ac:dyDescent="0.2">
      <c r="A7" s="18">
        <v>5</v>
      </c>
      <c r="B7" s="19">
        <v>46190</v>
      </c>
      <c r="C7" s="19">
        <v>46195</v>
      </c>
      <c r="D7" s="20">
        <f t="shared" si="0"/>
        <v>5</v>
      </c>
      <c r="E7" s="18" t="s">
        <v>39</v>
      </c>
      <c r="F7" s="21" t="s">
        <v>40</v>
      </c>
      <c r="G7" s="22" t="s">
        <v>23</v>
      </c>
      <c r="H7" s="23" t="s">
        <v>24</v>
      </c>
      <c r="I7" s="18" t="s">
        <v>32</v>
      </c>
      <c r="J7" s="18" t="s">
        <v>129</v>
      </c>
      <c r="K7" s="18" t="s">
        <v>41</v>
      </c>
      <c r="L7" s="18">
        <v>-3</v>
      </c>
      <c r="M7" s="18">
        <v>4374.66</v>
      </c>
      <c r="N7" s="18">
        <v>4575</v>
      </c>
      <c r="O7" s="18">
        <f t="shared" si="1"/>
        <v>4575</v>
      </c>
      <c r="P7" s="24">
        <v>131240</v>
      </c>
      <c r="Q7" s="18">
        <v>17.82</v>
      </c>
      <c r="R7" s="18">
        <v>0</v>
      </c>
      <c r="S7" s="25">
        <f t="shared" si="2"/>
        <v>0</v>
      </c>
      <c r="T7" s="18">
        <v>-6010</v>
      </c>
      <c r="U7" s="5">
        <v>-6010</v>
      </c>
    </row>
    <row r="8" spans="1:22" x14ac:dyDescent="0.2">
      <c r="A8" s="18">
        <v>6</v>
      </c>
      <c r="B8" s="19">
        <v>46194</v>
      </c>
      <c r="C8" s="19">
        <v>46205</v>
      </c>
      <c r="D8" s="20">
        <f t="shared" si="0"/>
        <v>11</v>
      </c>
      <c r="E8" s="18" t="s">
        <v>42</v>
      </c>
      <c r="F8" s="21" t="s">
        <v>43</v>
      </c>
      <c r="G8" s="22" t="s">
        <v>23</v>
      </c>
      <c r="H8" s="23" t="s">
        <v>24</v>
      </c>
      <c r="I8" s="18" t="s">
        <v>32</v>
      </c>
      <c r="J8" s="18" t="s">
        <v>128</v>
      </c>
      <c r="K8" s="18" t="s">
        <v>44</v>
      </c>
      <c r="L8" s="18">
        <v>20</v>
      </c>
      <c r="M8" s="18">
        <v>1.2499125</v>
      </c>
      <c r="N8" s="18">
        <v>1.2517849999999999</v>
      </c>
      <c r="O8" s="18">
        <f t="shared" si="1"/>
        <v>1.2517849999999999</v>
      </c>
      <c r="P8" s="24">
        <v>3124781</v>
      </c>
      <c r="Q8" s="18">
        <v>98.8</v>
      </c>
      <c r="R8" s="18">
        <v>1</v>
      </c>
      <c r="S8" s="25">
        <f t="shared" si="2"/>
        <v>1.4981048673406688E-3</v>
      </c>
      <c r="T8" s="18">
        <v>4681.25</v>
      </c>
      <c r="U8" s="4">
        <v>4681.25</v>
      </c>
    </row>
    <row r="9" spans="1:22" x14ac:dyDescent="0.2">
      <c r="A9" s="22">
        <v>7</v>
      </c>
      <c r="B9" s="19">
        <v>46197</v>
      </c>
      <c r="C9" s="19">
        <v>46203</v>
      </c>
      <c r="D9" s="20">
        <f t="shared" si="0"/>
        <v>6</v>
      </c>
      <c r="E9" s="22" t="s">
        <v>45</v>
      </c>
      <c r="F9" s="23" t="s">
        <v>46</v>
      </c>
      <c r="G9" s="22" t="s">
        <v>30</v>
      </c>
      <c r="H9" s="23" t="s">
        <v>47</v>
      </c>
      <c r="I9" s="22" t="s">
        <v>48</v>
      </c>
      <c r="J9" s="22" t="s">
        <v>48</v>
      </c>
      <c r="K9" s="22" t="s">
        <v>45</v>
      </c>
      <c r="L9" s="22">
        <v>400</v>
      </c>
      <c r="M9" s="22">
        <v>241.2475</v>
      </c>
      <c r="N9" s="22">
        <v>242.61</v>
      </c>
      <c r="O9" s="18">
        <f t="shared" si="1"/>
        <v>242.61</v>
      </c>
      <c r="P9" s="26">
        <v>96499</v>
      </c>
      <c r="Q9" s="22">
        <v>7.43</v>
      </c>
      <c r="R9" s="22">
        <v>1</v>
      </c>
      <c r="S9" s="25">
        <f t="shared" si="2"/>
        <v>5.6477269194499897E-3</v>
      </c>
      <c r="T9" s="22">
        <v>-545</v>
      </c>
      <c r="U9" s="6">
        <v>0</v>
      </c>
    </row>
    <row r="10" spans="1:22" x14ac:dyDescent="0.2">
      <c r="A10" s="22">
        <v>7</v>
      </c>
      <c r="B10" s="19">
        <v>46197</v>
      </c>
      <c r="C10" s="19">
        <v>46203</v>
      </c>
      <c r="D10" s="20">
        <v>0</v>
      </c>
      <c r="E10" s="22" t="s">
        <v>49</v>
      </c>
      <c r="F10" s="23" t="s">
        <v>50</v>
      </c>
      <c r="G10" s="22" t="s">
        <v>30</v>
      </c>
      <c r="H10" s="23" t="s">
        <v>47</v>
      </c>
      <c r="I10" s="22" t="s">
        <v>48</v>
      </c>
      <c r="J10" s="22" t="s">
        <v>48</v>
      </c>
      <c r="K10" s="22" t="s">
        <v>49</v>
      </c>
      <c r="L10" s="22">
        <v>800</v>
      </c>
      <c r="M10" s="22">
        <v>120.746</v>
      </c>
      <c r="N10" s="22">
        <v>124.35</v>
      </c>
      <c r="O10" s="18">
        <f t="shared" si="1"/>
        <v>124.35</v>
      </c>
      <c r="P10" s="26">
        <v>96596.800000000003</v>
      </c>
      <c r="Q10" s="22">
        <v>12.93</v>
      </c>
      <c r="R10" s="22">
        <v>1</v>
      </c>
      <c r="S10" s="25">
        <f t="shared" si="2"/>
        <v>2.9847779636592513E-2</v>
      </c>
      <c r="T10" s="22">
        <v>2883.2</v>
      </c>
      <c r="U10" s="6">
        <v>2338.1999999999998</v>
      </c>
    </row>
    <row r="11" spans="1:22" x14ac:dyDescent="0.2">
      <c r="A11" s="18">
        <v>3</v>
      </c>
      <c r="B11" s="19">
        <v>46198</v>
      </c>
      <c r="C11" s="19">
        <v>46203</v>
      </c>
      <c r="D11" s="20">
        <v>0</v>
      </c>
      <c r="E11" s="18" t="s">
        <v>51</v>
      </c>
      <c r="F11" s="21" t="s">
        <v>52</v>
      </c>
      <c r="G11" s="22" t="s">
        <v>30</v>
      </c>
      <c r="H11" s="21" t="s">
        <v>31</v>
      </c>
      <c r="I11" s="18" t="s">
        <v>32</v>
      </c>
      <c r="J11" s="18" t="s">
        <v>120</v>
      </c>
      <c r="K11" s="18" t="s">
        <v>53</v>
      </c>
      <c r="L11" s="18">
        <v>-1</v>
      </c>
      <c r="M11" s="18">
        <v>4042.5</v>
      </c>
      <c r="N11" s="18">
        <v>4028.25</v>
      </c>
      <c r="O11" s="18">
        <f t="shared" si="1"/>
        <v>4028.25</v>
      </c>
      <c r="P11" s="24">
        <v>202125</v>
      </c>
      <c r="Q11" s="18">
        <v>4.74</v>
      </c>
      <c r="R11" s="18">
        <v>1</v>
      </c>
      <c r="S11" s="25">
        <f t="shared" si="2"/>
        <v>3.5250463821892395E-3</v>
      </c>
      <c r="T11" s="18">
        <v>-712.5</v>
      </c>
      <c r="U11" s="4">
        <v>0</v>
      </c>
    </row>
    <row r="12" spans="1:22" x14ac:dyDescent="0.2">
      <c r="A12" s="22">
        <v>8</v>
      </c>
      <c r="B12" s="19">
        <v>46202</v>
      </c>
      <c r="C12" s="19">
        <f ca="1">TODAY()</f>
        <v>46270</v>
      </c>
      <c r="D12" s="20">
        <f t="shared" ca="1" si="0"/>
        <v>68</v>
      </c>
      <c r="E12" s="22" t="s">
        <v>54</v>
      </c>
      <c r="F12" s="23" t="s">
        <v>55</v>
      </c>
      <c r="G12" s="22" t="s">
        <v>23</v>
      </c>
      <c r="H12" s="23" t="s">
        <v>24</v>
      </c>
      <c r="I12" s="22" t="s">
        <v>48</v>
      </c>
      <c r="J12" s="22" t="s">
        <v>48</v>
      </c>
      <c r="K12" s="22" t="s">
        <v>54</v>
      </c>
      <c r="L12" s="22">
        <v>-3000</v>
      </c>
      <c r="M12" s="22">
        <v>74.614400000000003</v>
      </c>
      <c r="N12" s="22">
        <v>73.084999999999994</v>
      </c>
      <c r="O12" s="22">
        <v>73.084999999999994</v>
      </c>
      <c r="P12" s="26">
        <v>223843.28</v>
      </c>
      <c r="Q12" s="22">
        <v>44.49</v>
      </c>
      <c r="R12" s="22">
        <v>1</v>
      </c>
      <c r="S12" s="25">
        <f t="shared" si="2"/>
        <v>2.0497383883003945E-2</v>
      </c>
      <c r="T12" s="22">
        <v>4588</v>
      </c>
      <c r="U12" s="4">
        <v>4588</v>
      </c>
    </row>
    <row r="13" spans="1:22" x14ac:dyDescent="0.2">
      <c r="A13" s="22">
        <v>9</v>
      </c>
      <c r="B13" s="19">
        <v>46202</v>
      </c>
      <c r="C13" s="19">
        <v>46204</v>
      </c>
      <c r="D13" s="20">
        <f t="shared" si="0"/>
        <v>2</v>
      </c>
      <c r="E13" s="22" t="s">
        <v>56</v>
      </c>
      <c r="F13" s="23" t="s">
        <v>57</v>
      </c>
      <c r="G13" s="22" t="s">
        <v>23</v>
      </c>
      <c r="H13" s="23" t="s">
        <v>24</v>
      </c>
      <c r="I13" s="22" t="s">
        <v>25</v>
      </c>
      <c r="J13" s="22" t="s">
        <v>25</v>
      </c>
      <c r="K13" s="22" t="s">
        <v>56</v>
      </c>
      <c r="L13" s="22">
        <v>100</v>
      </c>
      <c r="M13" s="22">
        <v>550.35</v>
      </c>
      <c r="N13" s="22">
        <v>597.52</v>
      </c>
      <c r="O13" s="18">
        <f>N13</f>
        <v>597.52</v>
      </c>
      <c r="P13" s="26">
        <v>55035</v>
      </c>
      <c r="Q13" s="22">
        <v>2.29</v>
      </c>
      <c r="R13" s="22">
        <v>1</v>
      </c>
      <c r="S13" s="25">
        <f t="shared" ref="S13:S19" si="3">IF(R13=1, ABS(N13-M13)/M13, 0)</f>
        <v>8.5709094212773618E-2</v>
      </c>
      <c r="T13" s="22">
        <v>4717</v>
      </c>
      <c r="U13" s="6">
        <v>4717</v>
      </c>
    </row>
    <row r="14" spans="1:22" x14ac:dyDescent="0.2">
      <c r="A14" s="18">
        <v>10</v>
      </c>
      <c r="B14" s="19">
        <v>46203</v>
      </c>
      <c r="C14" s="19">
        <v>46255</v>
      </c>
      <c r="D14" s="20">
        <f t="shared" si="0"/>
        <v>52</v>
      </c>
      <c r="E14" s="18" t="s">
        <v>58</v>
      </c>
      <c r="F14" s="21" t="s">
        <v>59</v>
      </c>
      <c r="G14" s="18" t="s">
        <v>23</v>
      </c>
      <c r="H14" s="23" t="s">
        <v>24</v>
      </c>
      <c r="I14" s="22" t="s">
        <v>32</v>
      </c>
      <c r="J14" s="22" t="s">
        <v>130</v>
      </c>
      <c r="K14" s="18" t="s">
        <v>60</v>
      </c>
      <c r="L14" s="18">
        <v>60</v>
      </c>
      <c r="M14" s="18">
        <v>20.177299999999999</v>
      </c>
      <c r="N14" s="18">
        <v>17.451599999999999</v>
      </c>
      <c r="O14" s="18">
        <v>17.451599999999999</v>
      </c>
      <c r="P14" s="24">
        <v>121064</v>
      </c>
      <c r="Q14" s="18">
        <v>55.5</v>
      </c>
      <c r="R14" s="18">
        <v>0</v>
      </c>
      <c r="S14" s="25">
        <f t="shared" si="3"/>
        <v>0</v>
      </c>
      <c r="T14" s="18">
        <v>-16354</v>
      </c>
      <c r="U14" s="7">
        <v>-16354</v>
      </c>
    </row>
    <row r="15" spans="1:22" x14ac:dyDescent="0.2">
      <c r="A15" s="18">
        <v>11</v>
      </c>
      <c r="B15" s="19">
        <v>46205</v>
      </c>
      <c r="C15" s="19">
        <v>46205</v>
      </c>
      <c r="D15" s="20">
        <f t="shared" si="0"/>
        <v>0</v>
      </c>
      <c r="E15" s="18" t="s">
        <v>61</v>
      </c>
      <c r="F15" s="21" t="s">
        <v>62</v>
      </c>
      <c r="G15" s="22" t="s">
        <v>23</v>
      </c>
      <c r="H15" s="23" t="s">
        <v>24</v>
      </c>
      <c r="I15" s="22" t="s">
        <v>32</v>
      </c>
      <c r="J15" s="22" t="s">
        <v>129</v>
      </c>
      <c r="K15" s="18" t="s">
        <v>63</v>
      </c>
      <c r="L15" s="18">
        <v>-1</v>
      </c>
      <c r="M15" s="18">
        <v>3.0939999999999999</v>
      </c>
      <c r="N15" s="18">
        <v>3.0255000000000001</v>
      </c>
      <c r="O15" s="18">
        <f>N15</f>
        <v>3.0255000000000001</v>
      </c>
      <c r="P15" s="24">
        <v>116025</v>
      </c>
      <c r="Q15" s="18">
        <v>5.94</v>
      </c>
      <c r="R15" s="18">
        <v>1</v>
      </c>
      <c r="S15" s="25">
        <f t="shared" si="3"/>
        <v>2.2139625080801483E-2</v>
      </c>
      <c r="T15" s="18">
        <v>2568.75</v>
      </c>
      <c r="U15" s="4">
        <v>2568.75</v>
      </c>
    </row>
    <row r="16" spans="1:22" x14ac:dyDescent="0.2">
      <c r="A16" s="22">
        <v>12</v>
      </c>
      <c r="B16" s="19">
        <v>46211</v>
      </c>
      <c r="C16" s="19">
        <v>46217</v>
      </c>
      <c r="D16" s="20">
        <f t="shared" si="0"/>
        <v>6</v>
      </c>
      <c r="E16" s="22" t="s">
        <v>64</v>
      </c>
      <c r="F16" s="23" t="s">
        <v>65</v>
      </c>
      <c r="G16" s="22" t="s">
        <v>23</v>
      </c>
      <c r="H16" s="23" t="s">
        <v>24</v>
      </c>
      <c r="I16" s="22" t="s">
        <v>25</v>
      </c>
      <c r="J16" s="22" t="s">
        <v>25</v>
      </c>
      <c r="K16" s="22" t="s">
        <v>64</v>
      </c>
      <c r="L16" s="22">
        <v>-75</v>
      </c>
      <c r="M16" s="22">
        <v>1210.816</v>
      </c>
      <c r="N16" s="22">
        <v>1155.49</v>
      </c>
      <c r="O16" s="18">
        <f>N16</f>
        <v>1155.49</v>
      </c>
      <c r="P16" s="26">
        <v>90811.199999999997</v>
      </c>
      <c r="Q16" s="22">
        <v>2.9</v>
      </c>
      <c r="R16" s="22">
        <v>1</v>
      </c>
      <c r="S16" s="25">
        <f t="shared" si="3"/>
        <v>4.5693152386489792E-2</v>
      </c>
      <c r="T16" s="22">
        <v>4149.45</v>
      </c>
      <c r="U16" s="6">
        <v>4149.45</v>
      </c>
    </row>
    <row r="17" spans="1:22" x14ac:dyDescent="0.2">
      <c r="A17" s="18">
        <v>13</v>
      </c>
      <c r="B17" s="19">
        <v>46231</v>
      </c>
      <c r="C17" s="19">
        <v>46233</v>
      </c>
      <c r="D17" s="20">
        <f t="shared" si="0"/>
        <v>2</v>
      </c>
      <c r="E17" s="18" t="s">
        <v>66</v>
      </c>
      <c r="F17" s="21" t="s">
        <v>67</v>
      </c>
      <c r="G17" s="18" t="s">
        <v>23</v>
      </c>
      <c r="H17" s="21" t="s">
        <v>24</v>
      </c>
      <c r="I17" s="18" t="s">
        <v>25</v>
      </c>
      <c r="J17" s="18" t="s">
        <v>25</v>
      </c>
      <c r="K17" s="18" t="s">
        <v>66</v>
      </c>
      <c r="L17" s="18">
        <v>2000</v>
      </c>
      <c r="M17" s="18">
        <v>111.46</v>
      </c>
      <c r="N17" s="18">
        <v>117.0329</v>
      </c>
      <c r="O17" s="18">
        <f>N17</f>
        <v>117.0329</v>
      </c>
      <c r="P17" s="24">
        <v>232660</v>
      </c>
      <c r="R17" s="18">
        <v>1</v>
      </c>
      <c r="S17" s="25">
        <f t="shared" si="3"/>
        <v>4.9999102817154174E-2</v>
      </c>
      <c r="T17" s="18">
        <v>11150</v>
      </c>
      <c r="U17" s="4">
        <v>11150</v>
      </c>
    </row>
    <row r="18" spans="1:22" x14ac:dyDescent="0.2">
      <c r="A18" s="18">
        <v>14</v>
      </c>
      <c r="B18" s="19">
        <v>46231</v>
      </c>
      <c r="C18" s="19">
        <v>46233</v>
      </c>
      <c r="D18" s="20">
        <f t="shared" si="0"/>
        <v>2</v>
      </c>
      <c r="E18" s="18" t="s">
        <v>68</v>
      </c>
      <c r="F18" s="21" t="s">
        <v>69</v>
      </c>
      <c r="G18" s="18" t="s">
        <v>23</v>
      </c>
      <c r="H18" s="21" t="s">
        <v>24</v>
      </c>
      <c r="I18" s="18" t="s">
        <v>25</v>
      </c>
      <c r="J18" s="18" t="s">
        <v>25</v>
      </c>
      <c r="K18" s="18" t="s">
        <v>68</v>
      </c>
      <c r="L18" s="18">
        <v>-300</v>
      </c>
      <c r="M18" s="18">
        <v>337.98</v>
      </c>
      <c r="N18" s="18">
        <v>331.22</v>
      </c>
      <c r="O18" s="18">
        <f>N18</f>
        <v>331.22</v>
      </c>
      <c r="P18" s="24">
        <v>101964</v>
      </c>
      <c r="R18" s="18">
        <v>1</v>
      </c>
      <c r="S18" s="25">
        <f t="shared" si="3"/>
        <v>2.0001183501982336E-2</v>
      </c>
      <c r="T18" s="18">
        <v>2033</v>
      </c>
      <c r="U18" s="4">
        <v>2033</v>
      </c>
    </row>
    <row r="19" spans="1:22" x14ac:dyDescent="0.2">
      <c r="A19" s="18">
        <v>15</v>
      </c>
      <c r="B19" s="19">
        <v>46244</v>
      </c>
      <c r="C19" s="19">
        <f ca="1">TODAY()</f>
        <v>46270</v>
      </c>
      <c r="D19" s="20">
        <f t="shared" ca="1" si="0"/>
        <v>26</v>
      </c>
      <c r="E19" s="18" t="s">
        <v>70</v>
      </c>
      <c r="F19" s="21" t="s">
        <v>71</v>
      </c>
      <c r="G19" s="18" t="s">
        <v>23</v>
      </c>
      <c r="H19" s="21" t="s">
        <v>24</v>
      </c>
      <c r="I19" s="18" t="s">
        <v>48</v>
      </c>
      <c r="J19" s="18" t="s">
        <v>48</v>
      </c>
      <c r="K19" s="18" t="s">
        <v>70</v>
      </c>
      <c r="L19" s="18">
        <v>-500</v>
      </c>
      <c r="M19" s="18">
        <v>108.102</v>
      </c>
      <c r="N19" s="18">
        <v>107.749</v>
      </c>
      <c r="O19" s="18">
        <v>107.749</v>
      </c>
      <c r="P19" s="24">
        <v>54051</v>
      </c>
      <c r="Q19" s="18">
        <v>4.5599999999999996</v>
      </c>
      <c r="R19" s="18">
        <v>1</v>
      </c>
      <c r="S19" s="25">
        <f t="shared" si="3"/>
        <v>3.2654344970491629E-3</v>
      </c>
      <c r="T19" s="18">
        <v>177</v>
      </c>
      <c r="U19" s="4">
        <v>177</v>
      </c>
    </row>
    <row r="20" spans="1:22" x14ac:dyDescent="0.2">
      <c r="A20" s="18">
        <v>16</v>
      </c>
      <c r="B20" s="19">
        <v>46244</v>
      </c>
      <c r="C20" s="27">
        <f ca="1">TODAY()</f>
        <v>46270</v>
      </c>
      <c r="D20" s="20">
        <f t="shared" ca="1" si="0"/>
        <v>26</v>
      </c>
      <c r="E20" s="18" t="s">
        <v>73</v>
      </c>
      <c r="F20" s="21" t="s">
        <v>74</v>
      </c>
      <c r="G20" s="18" t="s">
        <v>23</v>
      </c>
      <c r="H20" s="21" t="s">
        <v>24</v>
      </c>
      <c r="I20" s="18" t="s">
        <v>32</v>
      </c>
      <c r="J20" s="18" t="s">
        <v>131</v>
      </c>
      <c r="K20" s="18" t="s">
        <v>75</v>
      </c>
      <c r="L20" s="18">
        <v>-1</v>
      </c>
      <c r="M20" s="18">
        <v>1868.84</v>
      </c>
      <c r="N20" s="18">
        <v>1860.72</v>
      </c>
      <c r="O20" s="18">
        <v>1860.72</v>
      </c>
      <c r="P20" s="24">
        <v>185382</v>
      </c>
      <c r="Q20" s="18">
        <v>11.2</v>
      </c>
      <c r="R20" s="18">
        <v>1</v>
      </c>
      <c r="S20" s="25">
        <f>IF(R20=1, ABS(N20-M20)/M20, 0)</f>
        <v>4.3449412469766758E-3</v>
      </c>
      <c r="T20" s="18">
        <v>4060</v>
      </c>
      <c r="U20" s="4">
        <v>4060</v>
      </c>
    </row>
    <row r="21" spans="1:22" x14ac:dyDescent="0.2">
      <c r="A21" s="18">
        <v>17</v>
      </c>
      <c r="B21" s="19">
        <v>46246</v>
      </c>
      <c r="C21" s="19">
        <v>46259</v>
      </c>
      <c r="D21" s="20">
        <f t="shared" si="0"/>
        <v>13</v>
      </c>
      <c r="E21" s="18" t="s">
        <v>76</v>
      </c>
      <c r="F21" s="21" t="s">
        <v>77</v>
      </c>
      <c r="G21" s="18" t="s">
        <v>30</v>
      </c>
      <c r="H21" s="21" t="s">
        <v>78</v>
      </c>
      <c r="I21" s="18" t="s">
        <v>48</v>
      </c>
      <c r="J21" s="18" t="s">
        <v>48</v>
      </c>
      <c r="K21" s="18" t="s">
        <v>76</v>
      </c>
      <c r="L21" s="18">
        <v>2000</v>
      </c>
      <c r="M21" s="18">
        <v>82.31</v>
      </c>
      <c r="N21" s="18">
        <v>83.02</v>
      </c>
      <c r="O21" s="18">
        <v>83.02</v>
      </c>
      <c r="P21" s="24">
        <v>164620</v>
      </c>
      <c r="Q21" s="18">
        <v>23.92</v>
      </c>
      <c r="R21" s="18">
        <v>1</v>
      </c>
      <c r="S21" s="25">
        <f>IF(R21=1, ABS(N21-M21)/M21, 0)</f>
        <v>8.6259263758959263E-3</v>
      </c>
      <c r="T21" s="18">
        <v>1420</v>
      </c>
      <c r="U21" s="4">
        <v>0</v>
      </c>
    </row>
    <row r="22" spans="1:22" x14ac:dyDescent="0.2">
      <c r="A22" s="18">
        <v>17</v>
      </c>
      <c r="B22" s="19">
        <v>46246</v>
      </c>
      <c r="C22" s="19">
        <v>46259</v>
      </c>
      <c r="D22" s="20">
        <f t="shared" si="0"/>
        <v>13</v>
      </c>
      <c r="E22" s="18" t="s">
        <v>79</v>
      </c>
      <c r="F22" s="21" t="s">
        <v>80</v>
      </c>
      <c r="G22" s="18" t="s">
        <v>30</v>
      </c>
      <c r="H22" s="21" t="s">
        <v>78</v>
      </c>
      <c r="I22" s="18" t="s">
        <v>32</v>
      </c>
      <c r="J22" s="18" t="s">
        <v>132</v>
      </c>
      <c r="K22" s="18" t="s">
        <v>79</v>
      </c>
      <c r="L22" s="18">
        <v>-4</v>
      </c>
      <c r="M22" s="18">
        <v>7763</v>
      </c>
      <c r="N22" s="18">
        <v>7689.75</v>
      </c>
      <c r="O22" s="18">
        <v>7689.75</v>
      </c>
      <c r="P22" s="24">
        <v>154290</v>
      </c>
      <c r="Q22" s="18">
        <v>17.079999999999998</v>
      </c>
      <c r="R22" s="18">
        <v>1</v>
      </c>
      <c r="S22" s="25">
        <f>IF(R22=1, ABS(N22-M22)/M22, 0)</f>
        <v>9.435785134612908E-3</v>
      </c>
      <c r="T22" s="18">
        <v>1418</v>
      </c>
      <c r="U22" s="4">
        <v>2838</v>
      </c>
    </row>
    <row r="23" spans="1:22" x14ac:dyDescent="0.2">
      <c r="A23" s="18">
        <v>18</v>
      </c>
      <c r="B23" s="19">
        <v>46246</v>
      </c>
      <c r="C23" s="19">
        <v>46246</v>
      </c>
      <c r="D23" s="20">
        <f t="shared" si="0"/>
        <v>0</v>
      </c>
      <c r="E23" s="18" t="s">
        <v>81</v>
      </c>
      <c r="F23" s="21" t="s">
        <v>82</v>
      </c>
      <c r="G23" s="18" t="s">
        <v>23</v>
      </c>
      <c r="H23" s="21" t="s">
        <v>24</v>
      </c>
      <c r="I23" s="18" t="s">
        <v>32</v>
      </c>
      <c r="J23" s="18" t="s">
        <v>129</v>
      </c>
      <c r="K23" s="18" t="s">
        <v>83</v>
      </c>
      <c r="L23" s="18">
        <v>-10</v>
      </c>
      <c r="M23" s="18">
        <v>0.16914999999999999</v>
      </c>
      <c r="N23" s="18">
        <v>0.16313</v>
      </c>
      <c r="O23" s="18">
        <v>0.16313</v>
      </c>
      <c r="P23" s="24">
        <v>182705</v>
      </c>
      <c r="Q23" s="18">
        <v>29.6</v>
      </c>
      <c r="R23" s="18">
        <v>1</v>
      </c>
      <c r="S23" s="25">
        <f>IF(R23=1, ABS(N23-M23)/M23, 0)</f>
        <v>3.5589713272243556E-2</v>
      </c>
      <c r="T23" s="18">
        <v>6742</v>
      </c>
      <c r="U23" s="4">
        <v>6742</v>
      </c>
    </row>
    <row r="24" spans="1:22" x14ac:dyDescent="0.2">
      <c r="A24" s="18">
        <v>19</v>
      </c>
      <c r="B24" s="19">
        <v>46254</v>
      </c>
      <c r="C24" s="19">
        <v>46254</v>
      </c>
      <c r="D24" s="20">
        <f t="shared" si="0"/>
        <v>0</v>
      </c>
      <c r="E24" s="18" t="s">
        <v>34</v>
      </c>
      <c r="F24" s="21" t="s">
        <v>35</v>
      </c>
      <c r="G24" s="18" t="s">
        <v>23</v>
      </c>
      <c r="H24" s="21" t="s">
        <v>24</v>
      </c>
      <c r="I24" s="18" t="s">
        <v>32</v>
      </c>
      <c r="J24" s="18" t="s">
        <v>128</v>
      </c>
      <c r="K24" s="18" t="s">
        <v>84</v>
      </c>
      <c r="L24" s="18">
        <v>-10</v>
      </c>
      <c r="M24" s="18">
        <v>1.1704300000000001</v>
      </c>
      <c r="N24" s="18">
        <v>1.1695</v>
      </c>
      <c r="O24" s="18">
        <v>1.1695</v>
      </c>
      <c r="P24" s="24">
        <v>1451000</v>
      </c>
      <c r="Q24" s="18">
        <v>6.28</v>
      </c>
      <c r="R24" s="18">
        <v>1</v>
      </c>
      <c r="S24" s="25">
        <v>8.0000000000000004E-4</v>
      </c>
      <c r="T24" s="18">
        <v>1245</v>
      </c>
      <c r="U24" s="4">
        <v>1245</v>
      </c>
    </row>
    <row r="25" spans="1:22" x14ac:dyDescent="0.2">
      <c r="A25" s="18">
        <v>20</v>
      </c>
      <c r="B25" s="19">
        <v>46255</v>
      </c>
      <c r="C25" s="19">
        <v>46257</v>
      </c>
      <c r="D25" s="20">
        <f t="shared" si="0"/>
        <v>2</v>
      </c>
      <c r="E25" s="18" t="s">
        <v>85</v>
      </c>
      <c r="F25" s="21" t="s">
        <v>86</v>
      </c>
      <c r="G25" s="18" t="s">
        <v>23</v>
      </c>
      <c r="H25" s="21" t="s">
        <v>24</v>
      </c>
      <c r="I25" s="18" t="s">
        <v>32</v>
      </c>
      <c r="J25" s="18" t="s">
        <v>128</v>
      </c>
      <c r="K25" s="18" t="s">
        <v>87</v>
      </c>
      <c r="L25" s="18">
        <v>-6</v>
      </c>
      <c r="M25" s="18">
        <v>0.72838000000000003</v>
      </c>
      <c r="N25" s="18">
        <v>0.72550000000000003</v>
      </c>
      <c r="O25" s="18">
        <v>0.72550000000000003</v>
      </c>
      <c r="P25" s="24">
        <v>436235</v>
      </c>
      <c r="Q25" s="18">
        <v>4.5599999999999996</v>
      </c>
      <c r="R25" s="18">
        <v>1</v>
      </c>
      <c r="S25" s="25">
        <f t="shared" ref="S25:S31" si="4">IF(R25=1, ABS(N25-M25)/M25, 0)</f>
        <v>3.9539800653504951E-3</v>
      </c>
      <c r="T25" s="18">
        <v>1710</v>
      </c>
      <c r="U25" s="4">
        <v>1710</v>
      </c>
    </row>
    <row r="26" spans="1:22" x14ac:dyDescent="0.2">
      <c r="A26" s="18">
        <v>21</v>
      </c>
      <c r="B26" s="19">
        <v>46258</v>
      </c>
      <c r="C26" s="19">
        <v>46259</v>
      </c>
      <c r="D26" s="20">
        <f t="shared" ref="D26:D32" si="5">C26-B26</f>
        <v>1</v>
      </c>
      <c r="E26" s="18" t="s">
        <v>88</v>
      </c>
      <c r="F26" s="21" t="s">
        <v>89</v>
      </c>
      <c r="G26" s="18" t="s">
        <v>23</v>
      </c>
      <c r="H26" s="21" t="s">
        <v>24</v>
      </c>
      <c r="I26" s="18" t="s">
        <v>32</v>
      </c>
      <c r="J26" s="18" t="s">
        <v>120</v>
      </c>
      <c r="K26" s="18" t="s">
        <v>90</v>
      </c>
      <c r="L26" s="18">
        <v>-3</v>
      </c>
      <c r="M26" s="18">
        <v>4703.32</v>
      </c>
      <c r="N26" s="18">
        <v>4663.8</v>
      </c>
      <c r="O26" s="18">
        <v>4663.8</v>
      </c>
      <c r="P26" s="24">
        <v>141200</v>
      </c>
      <c r="Q26" s="18">
        <v>9.6</v>
      </c>
      <c r="R26" s="18">
        <v>1</v>
      </c>
      <c r="S26" s="25">
        <f t="shared" si="4"/>
        <v>8.4025752021974973E-3</v>
      </c>
      <c r="T26" s="18">
        <v>715</v>
      </c>
      <c r="U26" s="4">
        <v>715</v>
      </c>
    </row>
    <row r="27" spans="1:22" x14ac:dyDescent="0.2">
      <c r="A27" s="18">
        <v>22</v>
      </c>
      <c r="B27" s="19">
        <v>46258</v>
      </c>
      <c r="C27" s="19">
        <v>46258</v>
      </c>
      <c r="D27" s="28">
        <v>0</v>
      </c>
      <c r="E27" s="18" t="s">
        <v>91</v>
      </c>
      <c r="F27" s="21" t="s">
        <v>92</v>
      </c>
      <c r="G27" s="18" t="s">
        <v>23</v>
      </c>
      <c r="H27" s="21" t="s">
        <v>24</v>
      </c>
      <c r="I27" s="18" t="s">
        <v>25</v>
      </c>
      <c r="J27" s="18" t="s">
        <v>25</v>
      </c>
      <c r="K27" s="18" t="s">
        <v>91</v>
      </c>
      <c r="L27" s="18">
        <v>-1000</v>
      </c>
      <c r="M27" s="18">
        <v>133.33799999999999</v>
      </c>
      <c r="N27" s="18">
        <v>129.84</v>
      </c>
      <c r="O27" s="18">
        <v>129.84</v>
      </c>
      <c r="P27" s="24">
        <v>133338</v>
      </c>
      <c r="Q27" s="18">
        <v>9.65</v>
      </c>
      <c r="R27" s="18">
        <v>1</v>
      </c>
      <c r="S27" s="25">
        <f t="shared" si="4"/>
        <v>2.623408180713668E-2</v>
      </c>
      <c r="T27" s="18">
        <v>3498</v>
      </c>
      <c r="U27" s="4">
        <v>3498</v>
      </c>
    </row>
    <row r="28" spans="1:22" x14ac:dyDescent="0.2">
      <c r="A28" s="18">
        <v>23</v>
      </c>
      <c r="B28" s="19">
        <v>46265</v>
      </c>
      <c r="C28" s="19">
        <v>46266</v>
      </c>
      <c r="D28" s="20">
        <f t="shared" si="5"/>
        <v>1</v>
      </c>
      <c r="E28" s="18" t="s">
        <v>93</v>
      </c>
      <c r="F28" s="21" t="s">
        <v>94</v>
      </c>
      <c r="G28" s="18" t="s">
        <v>23</v>
      </c>
      <c r="H28" s="21" t="s">
        <v>24</v>
      </c>
      <c r="I28" s="18" t="s">
        <v>25</v>
      </c>
      <c r="J28" s="18" t="s">
        <v>25</v>
      </c>
      <c r="K28" s="18" t="s">
        <v>93</v>
      </c>
      <c r="L28" s="18">
        <v>-1000</v>
      </c>
      <c r="M28" s="18">
        <v>59.798999999999999</v>
      </c>
      <c r="N28" s="18">
        <v>57.99</v>
      </c>
      <c r="O28" s="18">
        <v>57.99</v>
      </c>
      <c r="P28" s="24">
        <v>59799</v>
      </c>
      <c r="Q28" s="18">
        <v>11.32</v>
      </c>
      <c r="R28" s="18">
        <v>1</v>
      </c>
      <c r="S28" s="25">
        <f t="shared" si="4"/>
        <v>3.0251341995685504E-2</v>
      </c>
      <c r="T28" s="18">
        <v>1809</v>
      </c>
      <c r="U28" s="4">
        <v>1809</v>
      </c>
    </row>
    <row r="29" spans="1:22" x14ac:dyDescent="0.2">
      <c r="A29" s="18">
        <v>24</v>
      </c>
      <c r="B29" s="19">
        <v>46266</v>
      </c>
      <c r="C29" s="19">
        <v>46268</v>
      </c>
      <c r="D29" s="20">
        <f t="shared" si="5"/>
        <v>2</v>
      </c>
      <c r="E29" s="18" t="s">
        <v>95</v>
      </c>
      <c r="F29" s="21" t="s">
        <v>96</v>
      </c>
      <c r="G29" s="18" t="s">
        <v>23</v>
      </c>
      <c r="H29" s="21" t="s">
        <v>24</v>
      </c>
      <c r="I29" s="18" t="s">
        <v>25</v>
      </c>
      <c r="J29" s="18" t="s">
        <v>25</v>
      </c>
      <c r="K29" s="18" t="s">
        <v>95</v>
      </c>
      <c r="L29" s="18">
        <v>900</v>
      </c>
      <c r="M29" s="18">
        <v>269.69299999999998</v>
      </c>
      <c r="N29" s="18">
        <v>270.42500000000001</v>
      </c>
      <c r="O29" s="18">
        <v>270.42500000000001</v>
      </c>
      <c r="P29" s="24">
        <v>242723</v>
      </c>
      <c r="Q29" s="18">
        <v>12.28</v>
      </c>
      <c r="R29" s="18">
        <v>1</v>
      </c>
      <c r="S29" s="25">
        <f t="shared" si="4"/>
        <v>2.7141972539147393E-3</v>
      </c>
      <c r="T29" s="18">
        <v>2891</v>
      </c>
      <c r="U29" s="4">
        <v>2891</v>
      </c>
    </row>
    <row r="30" spans="1:22" x14ac:dyDescent="0.2">
      <c r="A30" s="18">
        <v>25</v>
      </c>
      <c r="B30" s="19">
        <v>46266</v>
      </c>
      <c r="C30" s="19">
        <v>46268</v>
      </c>
      <c r="D30" s="20">
        <f t="shared" si="5"/>
        <v>2</v>
      </c>
      <c r="E30" s="18" t="s">
        <v>97</v>
      </c>
      <c r="F30" s="21" t="s">
        <v>98</v>
      </c>
      <c r="G30" s="18" t="s">
        <v>23</v>
      </c>
      <c r="H30" s="21" t="s">
        <v>24</v>
      </c>
      <c r="I30" s="18" t="s">
        <v>25</v>
      </c>
      <c r="J30" s="18" t="s">
        <v>25</v>
      </c>
      <c r="K30" s="18" t="s">
        <v>97</v>
      </c>
      <c r="L30" s="18">
        <v>310</v>
      </c>
      <c r="M30" s="18">
        <v>951.66</v>
      </c>
      <c r="N30" s="18">
        <v>949.6</v>
      </c>
      <c r="O30" s="18">
        <v>949.6</v>
      </c>
      <c r="P30" s="24">
        <v>295017</v>
      </c>
      <c r="Q30" s="18">
        <v>9.18</v>
      </c>
      <c r="R30" s="18">
        <v>0</v>
      </c>
      <c r="S30" s="25">
        <f t="shared" si="4"/>
        <v>0</v>
      </c>
      <c r="T30" s="18">
        <v>-642</v>
      </c>
      <c r="U30" s="7">
        <v>-642</v>
      </c>
    </row>
    <row r="31" spans="1:22" x14ac:dyDescent="0.2">
      <c r="A31" s="18">
        <v>26</v>
      </c>
      <c r="B31" s="19">
        <v>46266</v>
      </c>
      <c r="C31" s="19">
        <v>46267</v>
      </c>
      <c r="D31" s="20">
        <f t="shared" si="5"/>
        <v>1</v>
      </c>
      <c r="E31" s="18" t="s">
        <v>99</v>
      </c>
      <c r="F31" s="21" t="s">
        <v>100</v>
      </c>
      <c r="G31" s="18" t="s">
        <v>23</v>
      </c>
      <c r="H31" s="21" t="s">
        <v>24</v>
      </c>
      <c r="I31" s="18" t="s">
        <v>25</v>
      </c>
      <c r="J31" s="18" t="s">
        <v>25</v>
      </c>
      <c r="K31" s="18" t="s">
        <v>99</v>
      </c>
      <c r="L31" s="18">
        <v>400</v>
      </c>
      <c r="M31" s="18">
        <v>331.50700000000001</v>
      </c>
      <c r="N31" s="18">
        <v>334.31</v>
      </c>
      <c r="O31" s="18">
        <v>334.31</v>
      </c>
      <c r="P31" s="24">
        <v>132602</v>
      </c>
      <c r="Q31" s="18">
        <v>6.69</v>
      </c>
      <c r="R31" s="18">
        <v>1</v>
      </c>
      <c r="S31" s="25">
        <f t="shared" si="4"/>
        <v>8.455326735182055E-3</v>
      </c>
      <c r="T31" s="18">
        <v>4108</v>
      </c>
      <c r="U31" s="4">
        <v>4108</v>
      </c>
    </row>
    <row r="32" spans="1:22" x14ac:dyDescent="0.2">
      <c r="A32" s="18">
        <v>27</v>
      </c>
      <c r="B32" s="19">
        <v>46266</v>
      </c>
      <c r="C32" s="19">
        <v>46268</v>
      </c>
      <c r="D32" s="20">
        <f t="shared" si="5"/>
        <v>2</v>
      </c>
      <c r="E32" s="8" t="s">
        <v>101</v>
      </c>
      <c r="F32" s="9" t="s">
        <v>102</v>
      </c>
      <c r="G32" s="8" t="s">
        <v>23</v>
      </c>
      <c r="H32" s="9" t="s">
        <v>24</v>
      </c>
      <c r="I32" s="8" t="s">
        <v>25</v>
      </c>
      <c r="J32" s="8" t="s">
        <v>25</v>
      </c>
      <c r="K32" s="8" t="s">
        <v>101</v>
      </c>
      <c r="L32" s="8">
        <v>-2000</v>
      </c>
      <c r="M32" s="8">
        <v>50.406999999999996</v>
      </c>
      <c r="N32" s="8" t="s">
        <v>72</v>
      </c>
      <c r="O32" s="8">
        <v>50.14</v>
      </c>
      <c r="P32" s="10">
        <v>100080</v>
      </c>
      <c r="Q32" s="8">
        <v>1.21</v>
      </c>
      <c r="R32" s="8" t="s">
        <v>72</v>
      </c>
      <c r="S32" s="11" t="s">
        <v>72</v>
      </c>
      <c r="T32" s="8" t="s">
        <v>72</v>
      </c>
      <c r="U32" s="10" t="s">
        <v>72</v>
      </c>
      <c r="V32" s="18">
        <v>484</v>
      </c>
    </row>
    <row r="33" spans="2:22" x14ac:dyDescent="0.2">
      <c r="B33" s="19"/>
      <c r="C33" s="19"/>
      <c r="F33" s="21"/>
      <c r="H33" s="21"/>
      <c r="P33" s="24"/>
      <c r="S33" s="25"/>
      <c r="U33" s="24"/>
    </row>
    <row r="34" spans="2:22" x14ac:dyDescent="0.2">
      <c r="B34" s="19"/>
      <c r="C34" s="19"/>
      <c r="F34" s="21"/>
      <c r="H34" s="21"/>
      <c r="P34" s="24"/>
      <c r="S34" s="25"/>
      <c r="U34" s="24"/>
    </row>
    <row r="35" spans="2:22" x14ac:dyDescent="0.2">
      <c r="F35" s="21"/>
      <c r="H35" s="21"/>
    </row>
    <row r="36" spans="2:22" x14ac:dyDescent="0.2">
      <c r="D36" s="29" t="s">
        <v>103</v>
      </c>
      <c r="E36" s="28">
        <f ca="1">AVERAGE(D2:D32)</f>
        <v>8.9677419354838701</v>
      </c>
      <c r="F36" s="21"/>
      <c r="H36" s="21"/>
      <c r="U36" s="24">
        <f>SUM(U2:U31)</f>
        <v>67975.47</v>
      </c>
      <c r="V36" s="24">
        <f>SUM(V2:V32)</f>
        <v>484</v>
      </c>
    </row>
    <row r="37" spans="2:22" x14ac:dyDescent="0.2">
      <c r="D37" s="29" t="s">
        <v>104</v>
      </c>
      <c r="E37" s="28">
        <f ca="1">AVERAGE(D2:D11,D13,D15:D32)</f>
        <v>5.4482758620689653</v>
      </c>
      <c r="F37" s="21"/>
      <c r="U37" s="18" t="s">
        <v>105</v>
      </c>
      <c r="V37" s="21" t="s">
        <v>106</v>
      </c>
    </row>
    <row r="38" spans="2:22" x14ac:dyDescent="0.2">
      <c r="F38" s="21"/>
      <c r="U38" s="18" t="s">
        <v>107</v>
      </c>
    </row>
    <row r="39" spans="2:22" x14ac:dyDescent="0.2">
      <c r="F39" s="21"/>
      <c r="U39" s="24">
        <f>U36+V36</f>
        <v>68459.47</v>
      </c>
    </row>
    <row r="40" spans="2:22" x14ac:dyDescent="0.2">
      <c r="F40" s="21"/>
    </row>
    <row r="41" spans="2:22" x14ac:dyDescent="0.2">
      <c r="F41" s="21"/>
      <c r="U41" s="21" t="s">
        <v>108</v>
      </c>
    </row>
    <row r="42" spans="2:22" x14ac:dyDescent="0.2">
      <c r="F42" s="21"/>
      <c r="U42" s="24">
        <v>333000</v>
      </c>
    </row>
    <row r="44" spans="2:22" x14ac:dyDescent="0.2">
      <c r="U44" s="18" t="s">
        <v>109</v>
      </c>
    </row>
    <row r="45" spans="2:22" x14ac:dyDescent="0.2">
      <c r="U45" s="30">
        <f>U39/U42</f>
        <v>0.20558399399399399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3"/>
  <sheetViews>
    <sheetView topLeftCell="A52" zoomScale="200" zoomScaleNormal="200" workbookViewId="0">
      <selection activeCell="D10" sqref="D10"/>
    </sheetView>
  </sheetViews>
  <sheetFormatPr baseColWidth="10" defaultColWidth="11.5" defaultRowHeight="15" x14ac:dyDescent="0.2"/>
  <cols>
    <col min="1" max="1" width="10.1640625" style="34" bestFit="1" customWidth="1"/>
    <col min="2" max="2" width="13.6640625" style="32" customWidth="1"/>
    <col min="3" max="3" width="7.1640625" style="31" bestFit="1" customWidth="1"/>
    <col min="4" max="4" width="7.1640625" style="33" bestFit="1" customWidth="1"/>
    <col min="5" max="6" width="11.5" style="34"/>
    <col min="7" max="7" width="15.33203125" style="34" bestFit="1" customWidth="1"/>
    <col min="8" max="8" width="8" style="34" bestFit="1" customWidth="1"/>
    <col min="9" max="16384" width="11.5" style="34"/>
  </cols>
  <sheetData>
    <row r="1" spans="1:8" x14ac:dyDescent="0.2">
      <c r="A1" s="31" t="s">
        <v>110</v>
      </c>
      <c r="B1" s="32" t="s">
        <v>111</v>
      </c>
      <c r="C1" s="31" t="s">
        <v>112</v>
      </c>
      <c r="D1" s="33" t="s">
        <v>113</v>
      </c>
      <c r="G1" s="35"/>
    </row>
    <row r="2" spans="1:8" x14ac:dyDescent="0.2">
      <c r="A2" s="36">
        <v>46184</v>
      </c>
      <c r="B2" s="32">
        <v>333455.63</v>
      </c>
      <c r="C2" s="31">
        <v>0</v>
      </c>
      <c r="D2" s="33">
        <v>0</v>
      </c>
      <c r="G2" s="35" t="s">
        <v>114</v>
      </c>
      <c r="H2" s="37">
        <f>AVERAGE(C3:C63)</f>
        <v>1231.0670491803273</v>
      </c>
    </row>
    <row r="3" spans="1:8" x14ac:dyDescent="0.2">
      <c r="A3" s="36">
        <v>46185</v>
      </c>
      <c r="B3" s="32">
        <v>350216.98</v>
      </c>
      <c r="C3" s="32">
        <f>B3-B2</f>
        <v>16761.349999999977</v>
      </c>
      <c r="D3" s="33">
        <f>C3/B2</f>
        <v>5.0265608051062075E-2</v>
      </c>
      <c r="G3" s="35" t="s">
        <v>115</v>
      </c>
      <c r="H3" s="37">
        <f>_xlfn.STDEV.S(C3:C63)</f>
        <v>4492.7213641015505</v>
      </c>
    </row>
    <row r="4" spans="1:8" x14ac:dyDescent="0.2">
      <c r="A4" s="36">
        <v>46188</v>
      </c>
      <c r="B4" s="32">
        <v>356930.64</v>
      </c>
      <c r="C4" s="32">
        <f t="shared" ref="C4:C63" si="0">B4-B3</f>
        <v>6713.6600000000326</v>
      </c>
      <c r="D4" s="33">
        <f t="shared" ref="D4:D63" si="1">C4/B3</f>
        <v>1.9170001408840977E-2</v>
      </c>
      <c r="G4" s="35" t="s">
        <v>116</v>
      </c>
      <c r="H4" s="38">
        <f>(H2/H3)*SQRT(252)</f>
        <v>4.3498320889463207</v>
      </c>
    </row>
    <row r="5" spans="1:8" x14ac:dyDescent="0.2">
      <c r="A5" s="36">
        <v>46189</v>
      </c>
      <c r="B5" s="32">
        <v>351815.49</v>
      </c>
      <c r="C5" s="32">
        <f t="shared" si="0"/>
        <v>-5115.1500000000233</v>
      </c>
      <c r="D5" s="33">
        <f t="shared" si="1"/>
        <v>-1.4330935556555255E-2</v>
      </c>
      <c r="G5" s="35" t="s">
        <v>117</v>
      </c>
      <c r="H5" s="39">
        <f>_xlfn.STDEV.S(D2:D63)*SQRT(252)</f>
        <v>0.19547655346884943</v>
      </c>
    </row>
    <row r="6" spans="1:8" x14ac:dyDescent="0.2">
      <c r="A6" s="36">
        <v>46190</v>
      </c>
      <c r="B6" s="32">
        <v>358486.01</v>
      </c>
      <c r="C6" s="32">
        <f t="shared" si="0"/>
        <v>6670.5200000000186</v>
      </c>
      <c r="D6" s="33">
        <f t="shared" si="1"/>
        <v>1.8960279435109632E-2</v>
      </c>
      <c r="G6" s="35" t="s">
        <v>118</v>
      </c>
      <c r="H6" s="39" cm="1">
        <f t="array" ref="H6">PRODUCT(1+D2:D63)-1</f>
        <v>0.2252026454014302</v>
      </c>
    </row>
    <row r="7" spans="1:8" x14ac:dyDescent="0.2">
      <c r="A7" s="36">
        <v>46191</v>
      </c>
      <c r="B7" s="32">
        <v>360758.08</v>
      </c>
      <c r="C7" s="32">
        <f t="shared" si="0"/>
        <v>2272.070000000007</v>
      </c>
      <c r="D7" s="33">
        <f t="shared" si="1"/>
        <v>6.3379600224845786E-3</v>
      </c>
      <c r="G7" s="35" t="s">
        <v>119</v>
      </c>
      <c r="H7" s="39" cm="1">
        <f t="array" ref="H7">PRODUCT(1+D2:D63)^(252/COUNT(D2:D63))-1</f>
        <v>1.2830874002729455</v>
      </c>
    </row>
    <row r="8" spans="1:8" x14ac:dyDescent="0.2">
      <c r="A8" s="36">
        <v>46192</v>
      </c>
      <c r="B8" s="32">
        <v>360243.39</v>
      </c>
      <c r="C8" s="32">
        <f t="shared" si="0"/>
        <v>-514.69000000000233</v>
      </c>
      <c r="D8" s="33">
        <f t="shared" si="1"/>
        <v>-1.4266901520265389E-3</v>
      </c>
    </row>
    <row r="9" spans="1:8" x14ac:dyDescent="0.2">
      <c r="A9" s="36">
        <v>46195</v>
      </c>
      <c r="B9" s="32">
        <v>351346.76</v>
      </c>
      <c r="C9" s="32">
        <f t="shared" si="0"/>
        <v>-8896.6300000000047</v>
      </c>
      <c r="D9" s="33">
        <f t="shared" si="1"/>
        <v>-2.4696164445931968E-2</v>
      </c>
      <c r="G9" s="35"/>
    </row>
    <row r="10" spans="1:8" x14ac:dyDescent="0.2">
      <c r="A10" s="36">
        <v>46196</v>
      </c>
      <c r="B10" s="32">
        <v>352224.24</v>
      </c>
      <c r="C10" s="32">
        <f t="shared" si="0"/>
        <v>877.47999999998137</v>
      </c>
      <c r="D10" s="33">
        <f t="shared" si="1"/>
        <v>2.4974757131671892E-3</v>
      </c>
      <c r="G10" s="35"/>
    </row>
    <row r="11" spans="1:8" x14ac:dyDescent="0.2">
      <c r="A11" s="36">
        <v>46197</v>
      </c>
      <c r="B11" s="32">
        <v>347929.11</v>
      </c>
      <c r="C11" s="32">
        <f t="shared" si="0"/>
        <v>-4295.1300000000047</v>
      </c>
      <c r="D11" s="33">
        <f t="shared" si="1"/>
        <v>-1.219430553672287E-2</v>
      </c>
      <c r="G11" s="35"/>
    </row>
    <row r="12" spans="1:8" x14ac:dyDescent="0.2">
      <c r="A12" s="36">
        <v>46198</v>
      </c>
      <c r="B12" s="32">
        <v>349277.46</v>
      </c>
      <c r="C12" s="32">
        <f t="shared" si="0"/>
        <v>1348.3500000000349</v>
      </c>
      <c r="D12" s="33">
        <f t="shared" si="1"/>
        <v>3.8753584027505917E-3</v>
      </c>
      <c r="G12" s="35"/>
    </row>
    <row r="13" spans="1:8" x14ac:dyDescent="0.2">
      <c r="A13" s="36">
        <v>46199</v>
      </c>
      <c r="B13" s="32">
        <v>351579.06</v>
      </c>
      <c r="C13" s="32">
        <f t="shared" si="0"/>
        <v>2301.5999999999767</v>
      </c>
      <c r="D13" s="33">
        <f t="shared" si="1"/>
        <v>6.5896035776255831E-3</v>
      </c>
      <c r="G13" s="35"/>
    </row>
    <row r="14" spans="1:8" x14ac:dyDescent="0.2">
      <c r="A14" s="36">
        <v>46202</v>
      </c>
      <c r="B14" s="32">
        <v>359661.12</v>
      </c>
      <c r="C14" s="32">
        <f t="shared" si="0"/>
        <v>8082.0599999999977</v>
      </c>
      <c r="D14" s="33">
        <f t="shared" si="1"/>
        <v>2.2987887845197601E-2</v>
      </c>
      <c r="G14" s="35"/>
    </row>
    <row r="15" spans="1:8" x14ac:dyDescent="0.2">
      <c r="A15" s="36">
        <v>46203</v>
      </c>
      <c r="B15" s="32">
        <v>361447.55</v>
      </c>
      <c r="C15" s="32">
        <f t="shared" si="0"/>
        <v>1786.429999999993</v>
      </c>
      <c r="D15" s="33">
        <f t="shared" si="1"/>
        <v>4.9669811404690978E-3</v>
      </c>
      <c r="G15" s="35"/>
    </row>
    <row r="16" spans="1:8" x14ac:dyDescent="0.2">
      <c r="A16" s="36">
        <v>46204</v>
      </c>
      <c r="B16" s="32">
        <v>363377.97</v>
      </c>
      <c r="C16" s="32">
        <f t="shared" si="0"/>
        <v>1930.4199999999837</v>
      </c>
      <c r="D16" s="33">
        <f t="shared" si="1"/>
        <v>5.3408025590434456E-3</v>
      </c>
      <c r="G16" s="35"/>
    </row>
    <row r="17" spans="1:7" x14ac:dyDescent="0.2">
      <c r="A17" s="36">
        <v>46205</v>
      </c>
      <c r="B17" s="32">
        <v>374651</v>
      </c>
      <c r="C17" s="32">
        <f t="shared" si="0"/>
        <v>11273.030000000028</v>
      </c>
      <c r="D17" s="33">
        <f t="shared" si="1"/>
        <v>3.1022876813363312E-2</v>
      </c>
      <c r="G17" s="35"/>
    </row>
    <row r="18" spans="1:7" x14ac:dyDescent="0.2">
      <c r="A18" s="36">
        <v>46206</v>
      </c>
      <c r="B18" s="32">
        <v>374479.39</v>
      </c>
      <c r="C18" s="32">
        <f t="shared" si="0"/>
        <v>-171.60999999998603</v>
      </c>
      <c r="D18" s="33">
        <f t="shared" si="1"/>
        <v>-4.5805296128926929E-4</v>
      </c>
    </row>
    <row r="19" spans="1:7" x14ac:dyDescent="0.2">
      <c r="A19" s="36">
        <v>46209</v>
      </c>
      <c r="B19" s="32">
        <v>372801.92</v>
      </c>
      <c r="C19" s="32">
        <f t="shared" si="0"/>
        <v>-1677.4700000000303</v>
      </c>
      <c r="D19" s="33">
        <f t="shared" si="1"/>
        <v>-4.4794721546625839E-3</v>
      </c>
    </row>
    <row r="20" spans="1:7" x14ac:dyDescent="0.2">
      <c r="A20" s="36">
        <v>46210</v>
      </c>
      <c r="B20" s="32">
        <v>375246.11</v>
      </c>
      <c r="C20" s="32">
        <f t="shared" si="0"/>
        <v>2444.1900000000023</v>
      </c>
      <c r="D20" s="33">
        <f t="shared" si="1"/>
        <v>6.5562698818718594E-3</v>
      </c>
    </row>
    <row r="21" spans="1:7" x14ac:dyDescent="0.2">
      <c r="A21" s="36">
        <v>46211</v>
      </c>
      <c r="B21" s="32">
        <v>377280.97</v>
      </c>
      <c r="C21" s="32">
        <f t="shared" si="0"/>
        <v>2034.859999999986</v>
      </c>
      <c r="D21" s="33">
        <f t="shared" si="1"/>
        <v>5.4227344288791859E-3</v>
      </c>
    </row>
    <row r="22" spans="1:7" x14ac:dyDescent="0.2">
      <c r="A22" s="36">
        <v>46212</v>
      </c>
      <c r="B22" s="32">
        <v>374471.51</v>
      </c>
      <c r="C22" s="32">
        <f t="shared" si="0"/>
        <v>-2809.4599999999627</v>
      </c>
      <c r="D22" s="33">
        <f t="shared" si="1"/>
        <v>-7.4465987510580322E-3</v>
      </c>
    </row>
    <row r="23" spans="1:7" x14ac:dyDescent="0.2">
      <c r="A23" s="36">
        <v>46213</v>
      </c>
      <c r="B23" s="32">
        <v>376468.72</v>
      </c>
      <c r="C23" s="32">
        <f t="shared" si="0"/>
        <v>1997.2099999999627</v>
      </c>
      <c r="D23" s="33">
        <f t="shared" si="1"/>
        <v>5.3334097432404474E-3</v>
      </c>
    </row>
    <row r="24" spans="1:7" x14ac:dyDescent="0.2">
      <c r="A24" s="36">
        <v>46216</v>
      </c>
      <c r="B24" s="32">
        <v>379175.63</v>
      </c>
      <c r="C24" s="32">
        <f t="shared" si="0"/>
        <v>2706.9100000000326</v>
      </c>
      <c r="D24" s="33">
        <f t="shared" si="1"/>
        <v>7.190265369191982E-3</v>
      </c>
    </row>
    <row r="25" spans="1:7" x14ac:dyDescent="0.2">
      <c r="A25" s="36">
        <v>46217</v>
      </c>
      <c r="B25" s="32">
        <v>378852.03</v>
      </c>
      <c r="C25" s="32">
        <f t="shared" si="0"/>
        <v>-323.59999999997672</v>
      </c>
      <c r="D25" s="33">
        <f t="shared" si="1"/>
        <v>-8.5343037473156356E-4</v>
      </c>
    </row>
    <row r="26" spans="1:7" x14ac:dyDescent="0.2">
      <c r="A26" s="36">
        <v>46218</v>
      </c>
      <c r="B26" s="32">
        <v>374437.1</v>
      </c>
      <c r="C26" s="32">
        <f t="shared" si="0"/>
        <v>-4414.9300000000512</v>
      </c>
      <c r="D26" s="33">
        <f t="shared" si="1"/>
        <v>-1.1653441582456483E-2</v>
      </c>
    </row>
    <row r="27" spans="1:7" x14ac:dyDescent="0.2">
      <c r="A27" s="36">
        <v>46219</v>
      </c>
      <c r="B27" s="32">
        <v>372248.26</v>
      </c>
      <c r="C27" s="32">
        <f t="shared" si="0"/>
        <v>-2188.8399999999674</v>
      </c>
      <c r="D27" s="33">
        <f t="shared" si="1"/>
        <v>-5.8456814241963934E-3</v>
      </c>
    </row>
    <row r="28" spans="1:7" x14ac:dyDescent="0.2">
      <c r="A28" s="36">
        <v>46220</v>
      </c>
      <c r="B28" s="32">
        <v>376025.4</v>
      </c>
      <c r="C28" s="32">
        <f t="shared" si="0"/>
        <v>3777.140000000014</v>
      </c>
      <c r="D28" s="33">
        <f t="shared" si="1"/>
        <v>1.0146830504996891E-2</v>
      </c>
    </row>
    <row r="29" spans="1:7" x14ac:dyDescent="0.2">
      <c r="A29" s="36">
        <v>46223</v>
      </c>
      <c r="B29" s="32">
        <v>375009.72</v>
      </c>
      <c r="C29" s="32">
        <f t="shared" si="0"/>
        <v>-1015.6800000000512</v>
      </c>
      <c r="D29" s="33">
        <f t="shared" si="1"/>
        <v>-2.7010941282159429E-3</v>
      </c>
    </row>
    <row r="30" spans="1:7" x14ac:dyDescent="0.2">
      <c r="A30" s="36">
        <v>46224</v>
      </c>
      <c r="B30" s="32">
        <v>375731.28</v>
      </c>
      <c r="C30" s="32">
        <f t="shared" si="0"/>
        <v>721.56000000005588</v>
      </c>
      <c r="D30" s="33">
        <f t="shared" si="1"/>
        <v>1.9241101270656557E-3</v>
      </c>
    </row>
    <row r="31" spans="1:7" x14ac:dyDescent="0.2">
      <c r="A31" s="36">
        <v>46225</v>
      </c>
      <c r="B31" s="32">
        <v>378174.99</v>
      </c>
      <c r="C31" s="32">
        <f t="shared" si="0"/>
        <v>2443.7099999999627</v>
      </c>
      <c r="D31" s="33">
        <f t="shared" si="1"/>
        <v>6.5038769196963386E-3</v>
      </c>
    </row>
    <row r="32" spans="1:7" x14ac:dyDescent="0.2">
      <c r="A32" s="36">
        <v>46226</v>
      </c>
      <c r="B32" s="32">
        <v>380362.45</v>
      </c>
      <c r="C32" s="32">
        <f t="shared" si="0"/>
        <v>2187.460000000021</v>
      </c>
      <c r="D32" s="33">
        <f t="shared" si="1"/>
        <v>5.7842534748266169E-3</v>
      </c>
    </row>
    <row r="33" spans="1:4" x14ac:dyDescent="0.2">
      <c r="A33" s="36">
        <v>46227</v>
      </c>
      <c r="B33" s="32">
        <f>B32-1740-1437</f>
        <v>377185.45</v>
      </c>
      <c r="C33" s="32">
        <f t="shared" si="0"/>
        <v>-3177</v>
      </c>
      <c r="D33" s="33">
        <f t="shared" si="1"/>
        <v>-8.3525595126437945E-3</v>
      </c>
    </row>
    <row r="34" spans="1:4" x14ac:dyDescent="0.2">
      <c r="A34" s="36">
        <v>46230</v>
      </c>
      <c r="B34" s="32">
        <f>B33+322+630+1019-936</f>
        <v>378220.45</v>
      </c>
      <c r="C34" s="32">
        <f t="shared" si="0"/>
        <v>1035</v>
      </c>
      <c r="D34" s="33">
        <f t="shared" si="1"/>
        <v>2.7440082855794143E-3</v>
      </c>
    </row>
    <row r="35" spans="1:4" x14ac:dyDescent="0.2">
      <c r="A35" s="36">
        <v>46231</v>
      </c>
      <c r="B35" s="32">
        <f>B34-951+8872.25-771</f>
        <v>385370.7</v>
      </c>
      <c r="C35" s="32">
        <f t="shared" si="0"/>
        <v>7150.25</v>
      </c>
      <c r="D35" s="33">
        <f t="shared" si="1"/>
        <v>1.8904979886730081E-2</v>
      </c>
    </row>
    <row r="36" spans="1:4" x14ac:dyDescent="0.2">
      <c r="A36" s="36">
        <v>46232</v>
      </c>
      <c r="B36" s="32">
        <f>B35+567+1830-7720+5262</f>
        <v>385309.7</v>
      </c>
      <c r="C36" s="32">
        <f t="shared" si="0"/>
        <v>-61</v>
      </c>
      <c r="D36" s="33">
        <f t="shared" si="1"/>
        <v>-1.5828914860418811E-4</v>
      </c>
    </row>
    <row r="37" spans="1:4" x14ac:dyDescent="0.2">
      <c r="A37" s="36">
        <v>46233</v>
      </c>
      <c r="B37" s="32">
        <f>B36+2088+840+8949-5393</f>
        <v>391793.7</v>
      </c>
      <c r="C37" s="32">
        <f t="shared" si="0"/>
        <v>6484</v>
      </c>
      <c r="D37" s="33">
        <f t="shared" si="1"/>
        <v>1.6828021718633089E-2</v>
      </c>
    </row>
    <row r="38" spans="1:4" x14ac:dyDescent="0.2">
      <c r="A38" s="36">
        <v>46234</v>
      </c>
      <c r="B38" s="32">
        <f>B37-480-2572</f>
        <v>388741.7</v>
      </c>
      <c r="C38" s="32">
        <f t="shared" si="0"/>
        <v>-3052</v>
      </c>
      <c r="D38" s="33">
        <f t="shared" si="1"/>
        <v>-7.7898138739852119E-3</v>
      </c>
    </row>
    <row r="39" spans="1:4" x14ac:dyDescent="0.2">
      <c r="A39" s="36">
        <v>46237</v>
      </c>
      <c r="B39" s="32">
        <f>B38-3000-427</f>
        <v>385314.7</v>
      </c>
      <c r="C39" s="32">
        <f t="shared" si="0"/>
        <v>-3427</v>
      </c>
      <c r="D39" s="33">
        <f t="shared" si="1"/>
        <v>-8.8156223013893288E-3</v>
      </c>
    </row>
    <row r="40" spans="1:4" x14ac:dyDescent="0.2">
      <c r="A40" s="36">
        <v>46238</v>
      </c>
      <c r="B40" s="32">
        <f>B39-2340+453</f>
        <v>383427.7</v>
      </c>
      <c r="C40" s="32">
        <f t="shared" si="0"/>
        <v>-1887</v>
      </c>
      <c r="D40" s="33">
        <f t="shared" si="1"/>
        <v>-4.8972956391230334E-3</v>
      </c>
    </row>
    <row r="41" spans="1:4" x14ac:dyDescent="0.2">
      <c r="A41" s="36">
        <v>46239</v>
      </c>
      <c r="B41" s="32">
        <f>B40+1500-3275</f>
        <v>381652.7</v>
      </c>
      <c r="C41" s="32">
        <f t="shared" si="0"/>
        <v>-1775</v>
      </c>
      <c r="D41" s="33">
        <f t="shared" si="1"/>
        <v>-4.6292951709018416E-3</v>
      </c>
    </row>
    <row r="42" spans="1:4" x14ac:dyDescent="0.2">
      <c r="A42" s="36">
        <v>46240</v>
      </c>
      <c r="B42" s="32">
        <f>B41+2550-1004</f>
        <v>383198.7</v>
      </c>
      <c r="C42" s="32">
        <f t="shared" si="0"/>
        <v>1546</v>
      </c>
      <c r="D42" s="33">
        <f t="shared" si="1"/>
        <v>4.0508032564685117E-3</v>
      </c>
    </row>
    <row r="43" spans="1:4" x14ac:dyDescent="0.2">
      <c r="A43" s="36">
        <v>46241</v>
      </c>
      <c r="B43" s="32">
        <f>B42+840+738</f>
        <v>384776.7</v>
      </c>
      <c r="C43" s="32">
        <f t="shared" si="0"/>
        <v>1578</v>
      </c>
      <c r="D43" s="33">
        <f t="shared" si="1"/>
        <v>4.1179680411233127E-3</v>
      </c>
    </row>
    <row r="44" spans="1:4" x14ac:dyDescent="0.2">
      <c r="A44" s="36">
        <v>46244</v>
      </c>
      <c r="B44" s="32">
        <f>B43+41+540-398-50</f>
        <v>384909.7</v>
      </c>
      <c r="C44" s="32">
        <f t="shared" si="0"/>
        <v>133</v>
      </c>
      <c r="D44" s="33">
        <f t="shared" si="1"/>
        <v>3.4565502536925964E-4</v>
      </c>
    </row>
    <row r="45" spans="1:4" x14ac:dyDescent="0.2">
      <c r="A45" s="36">
        <v>46245</v>
      </c>
      <c r="B45" s="32">
        <f>B44-40-2340-824-1009-1010</f>
        <v>379686.7</v>
      </c>
      <c r="C45" s="32">
        <f t="shared" si="0"/>
        <v>-5223</v>
      </c>
      <c r="D45" s="33">
        <f t="shared" si="1"/>
        <v>-1.3569416411173841E-2</v>
      </c>
    </row>
    <row r="46" spans="1:4" x14ac:dyDescent="0.2">
      <c r="A46" s="36">
        <v>46246</v>
      </c>
      <c r="B46" s="32">
        <f>B45-205-1710-410+2950-212+6683-2764-240</f>
        <v>383778.7</v>
      </c>
      <c r="C46" s="32">
        <f t="shared" si="0"/>
        <v>4092</v>
      </c>
      <c r="D46" s="33">
        <f t="shared" si="1"/>
        <v>1.0777306658358061E-2</v>
      </c>
    </row>
    <row r="47" spans="1:4" x14ac:dyDescent="0.2">
      <c r="A47" s="36">
        <v>46247</v>
      </c>
      <c r="B47" s="32">
        <f>B46-95-1110+960-1500-1040+875+120</f>
        <v>381988.7</v>
      </c>
      <c r="C47" s="32">
        <f t="shared" si="0"/>
        <v>-1790</v>
      </c>
      <c r="D47" s="33">
        <f t="shared" si="1"/>
        <v>-4.6641462905575529E-3</v>
      </c>
    </row>
    <row r="48" spans="1:4" x14ac:dyDescent="0.2">
      <c r="A48" s="36">
        <v>46248</v>
      </c>
      <c r="B48" s="32">
        <f>B47+25-540-1100-7593+350-1166-690</f>
        <v>371274.7</v>
      </c>
      <c r="C48" s="32">
        <f t="shared" si="0"/>
        <v>-10714</v>
      </c>
      <c r="D48" s="33">
        <f t="shared" si="1"/>
        <v>-2.8047950109518945E-2</v>
      </c>
    </row>
    <row r="49" spans="1:4" x14ac:dyDescent="0.2">
      <c r="A49" s="36">
        <v>46251</v>
      </c>
      <c r="B49" s="32">
        <f>B48+95+1620-1380+725+796+220</f>
        <v>373350.7</v>
      </c>
      <c r="C49" s="32">
        <f t="shared" si="0"/>
        <v>2076</v>
      </c>
      <c r="D49" s="33">
        <f t="shared" si="1"/>
        <v>5.5915471751778398E-3</v>
      </c>
    </row>
    <row r="50" spans="1:4" x14ac:dyDescent="0.2">
      <c r="A50" s="36">
        <v>46252</v>
      </c>
      <c r="B50" s="32">
        <f>B49+590+1620+620+1095+826+2690</f>
        <v>380791.7</v>
      </c>
      <c r="C50" s="32">
        <f t="shared" si="0"/>
        <v>7441</v>
      </c>
      <c r="D50" s="33">
        <f t="shared" si="1"/>
        <v>1.9930322884087266E-2</v>
      </c>
    </row>
    <row r="51" spans="1:4" x14ac:dyDescent="0.2">
      <c r="A51" s="36">
        <v>46253</v>
      </c>
      <c r="B51" s="32">
        <f>B50-195+5550+2720-300-3504+1730</f>
        <v>386792.7</v>
      </c>
      <c r="C51" s="32">
        <f t="shared" si="0"/>
        <v>6001</v>
      </c>
      <c r="D51" s="33">
        <f t="shared" si="1"/>
        <v>1.5759272063965678E-2</v>
      </c>
    </row>
    <row r="52" spans="1:4" x14ac:dyDescent="0.2">
      <c r="A52" s="36">
        <v>46254</v>
      </c>
      <c r="B52" s="32">
        <f>B51+155+870-1360+1107.05+1330+1165.8+1267.76</f>
        <v>391328.31</v>
      </c>
      <c r="C52" s="32">
        <f t="shared" si="0"/>
        <v>4535.609999999986</v>
      </c>
      <c r="D52" s="33">
        <f t="shared" si="1"/>
        <v>1.1726203726181973E-2</v>
      </c>
    </row>
    <row r="53" spans="1:4" x14ac:dyDescent="0.2">
      <c r="A53" s="36">
        <v>46255</v>
      </c>
      <c r="B53" s="32">
        <f>B52-445-450-580+585-575-2123</f>
        <v>387740.31</v>
      </c>
      <c r="C53" s="32">
        <f t="shared" si="0"/>
        <v>-3588</v>
      </c>
      <c r="D53" s="33">
        <f t="shared" si="1"/>
        <v>-9.1687718683066913E-3</v>
      </c>
    </row>
    <row r="54" spans="1:4" x14ac:dyDescent="0.2">
      <c r="A54" s="36">
        <v>46258</v>
      </c>
      <c r="B54" s="32">
        <f>B53+105+300+3482+1020+1095+430-311</f>
        <v>393861.31</v>
      </c>
      <c r="C54" s="32">
        <f t="shared" si="0"/>
        <v>6121</v>
      </c>
      <c r="D54" s="33">
        <f t="shared" si="1"/>
        <v>1.5786339057705916E-2</v>
      </c>
    </row>
    <row r="55" spans="1:4" x14ac:dyDescent="0.2">
      <c r="A55" s="36">
        <v>46259</v>
      </c>
      <c r="B55" s="32">
        <f>B54-390+1290+906-402+1017</f>
        <v>396282.31</v>
      </c>
      <c r="C55" s="32">
        <f t="shared" si="0"/>
        <v>2421</v>
      </c>
      <c r="D55" s="33">
        <f t="shared" si="1"/>
        <v>6.1468337674497652E-3</v>
      </c>
    </row>
    <row r="56" spans="1:4" x14ac:dyDescent="0.2">
      <c r="A56" s="36">
        <v>46260</v>
      </c>
      <c r="B56" s="32">
        <f>B55+270-750</f>
        <v>395802.31</v>
      </c>
      <c r="C56" s="32">
        <f t="shared" si="0"/>
        <v>-480</v>
      </c>
      <c r="D56" s="33">
        <f t="shared" si="1"/>
        <v>-1.2112577016117625E-3</v>
      </c>
    </row>
    <row r="57" spans="1:4" x14ac:dyDescent="0.2">
      <c r="A57" s="36">
        <v>46261</v>
      </c>
      <c r="B57" s="32">
        <f>B56+125+690</f>
        <v>396617.31</v>
      </c>
      <c r="C57" s="32">
        <f t="shared" si="0"/>
        <v>815</v>
      </c>
      <c r="D57" s="33">
        <f t="shared" si="1"/>
        <v>2.0591087505275043E-3</v>
      </c>
    </row>
    <row r="58" spans="1:4" x14ac:dyDescent="0.2">
      <c r="A58" s="36">
        <v>46262</v>
      </c>
      <c r="B58" s="32">
        <f>B57+300</f>
        <v>396917.31</v>
      </c>
      <c r="C58" s="32">
        <f t="shared" si="0"/>
        <v>300</v>
      </c>
      <c r="D58" s="33">
        <f t="shared" si="1"/>
        <v>7.5639663836154808E-4</v>
      </c>
    </row>
    <row r="59" spans="1:4" x14ac:dyDescent="0.2">
      <c r="A59" s="36">
        <v>46265</v>
      </c>
      <c r="B59" s="32">
        <f>B58+135+2220-2.59</f>
        <v>399269.72</v>
      </c>
      <c r="C59" s="32">
        <f t="shared" si="0"/>
        <v>2352.4099999999744</v>
      </c>
      <c r="D59" s="33">
        <f t="shared" si="1"/>
        <v>5.9267004505295434E-3</v>
      </c>
    </row>
    <row r="60" spans="1:4" x14ac:dyDescent="0.2">
      <c r="A60" s="36">
        <v>46266</v>
      </c>
      <c r="B60" s="32">
        <f>B59+480-562+1405-1361-623+1800+428</f>
        <v>400836.72</v>
      </c>
      <c r="C60" s="32">
        <f t="shared" si="0"/>
        <v>1567</v>
      </c>
      <c r="D60" s="33">
        <f t="shared" si="1"/>
        <v>3.9246652613676792E-3</v>
      </c>
    </row>
    <row r="61" spans="1:4" x14ac:dyDescent="0.2">
      <c r="A61" s="36">
        <v>46267</v>
      </c>
      <c r="B61" s="32">
        <f>B60-274+71-569+1738+320</f>
        <v>402122.72</v>
      </c>
      <c r="C61" s="32">
        <f t="shared" si="0"/>
        <v>1286</v>
      </c>
      <c r="D61" s="33">
        <f t="shared" si="1"/>
        <v>3.2082889012763106E-3</v>
      </c>
    </row>
    <row r="62" spans="1:4" x14ac:dyDescent="0.2">
      <c r="A62" s="36">
        <v>46268</v>
      </c>
      <c r="B62" s="32">
        <f>B61-359+2891+4108-1112</f>
        <v>407650.72</v>
      </c>
      <c r="C62" s="32">
        <f t="shared" si="0"/>
        <v>5528</v>
      </c>
      <c r="D62" s="33">
        <f t="shared" si="1"/>
        <v>1.3747047170077832E-2</v>
      </c>
    </row>
    <row r="63" spans="1:4" x14ac:dyDescent="0.2">
      <c r="A63" s="36">
        <v>46269</v>
      </c>
      <c r="B63" s="32">
        <f>B62+900</f>
        <v>408550.72</v>
      </c>
      <c r="C63" s="32">
        <f t="shared" si="0"/>
        <v>900</v>
      </c>
      <c r="D63" s="33">
        <f t="shared" si="1"/>
        <v>2.2077723792564381E-3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zoomScale="110" zoomScaleNormal="110" workbookViewId="0">
      <pane ySplit="1" topLeftCell="A35" activePane="bottomLeft" state="frozen"/>
      <selection pane="bottomLeft" activeCell="M66" sqref="M66"/>
    </sheetView>
  </sheetViews>
  <sheetFormatPr baseColWidth="10" defaultColWidth="9.1640625" defaultRowHeight="16" x14ac:dyDescent="0.2"/>
  <cols>
    <col min="1" max="1" width="10.5" style="40" bestFit="1" customWidth="1"/>
    <col min="2" max="2" width="7.6640625" style="40" bestFit="1" customWidth="1"/>
    <col min="3" max="3" width="7.6640625" style="12" bestFit="1" customWidth="1"/>
    <col min="4" max="4" width="7.6640625" style="13" bestFit="1" customWidth="1"/>
    <col min="5" max="9" width="9.1640625" style="15" customWidth="1"/>
    <col min="10" max="10" width="7.6640625" style="13" bestFit="1" customWidth="1"/>
    <col min="11" max="11" width="13.5" style="41" bestFit="1" customWidth="1"/>
    <col min="12" max="12" width="15.1640625" style="17" bestFit="1" customWidth="1"/>
    <col min="13" max="13" width="13.83203125" style="17" bestFit="1" customWidth="1"/>
    <col min="14" max="14" width="15.6640625" style="45" bestFit="1" customWidth="1"/>
    <col min="15" max="15" width="17.5" style="45" bestFit="1" customWidth="1"/>
    <col min="16" max="17" width="17.5" style="45" customWidth="1"/>
    <col min="18" max="18" width="19.1640625" style="45" customWidth="1"/>
    <col min="19" max="19" width="12.83203125" style="17" bestFit="1" customWidth="1"/>
    <col min="20" max="20" width="9.1640625" style="17"/>
    <col min="21" max="16384" width="9.1640625" style="13"/>
  </cols>
  <sheetData>
    <row r="1" spans="1:20" x14ac:dyDescent="0.2">
      <c r="A1" s="40" t="s">
        <v>110</v>
      </c>
      <c r="B1" s="40" t="s">
        <v>121</v>
      </c>
      <c r="C1" s="12" t="s">
        <v>122</v>
      </c>
      <c r="D1" s="13" t="s">
        <v>123</v>
      </c>
      <c r="E1" s="13" t="s">
        <v>128</v>
      </c>
      <c r="F1" s="13" t="s">
        <v>120</v>
      </c>
      <c r="G1" s="13" t="s">
        <v>129</v>
      </c>
      <c r="H1" s="13" t="s">
        <v>130</v>
      </c>
      <c r="I1" s="13" t="s">
        <v>132</v>
      </c>
      <c r="J1" s="13" t="s">
        <v>48</v>
      </c>
      <c r="K1" s="41" t="s">
        <v>124</v>
      </c>
      <c r="L1" s="13" t="s">
        <v>125</v>
      </c>
      <c r="M1" s="13" t="s">
        <v>126</v>
      </c>
      <c r="N1" s="13" t="s">
        <v>133</v>
      </c>
      <c r="O1" s="13" t="s">
        <v>134</v>
      </c>
      <c r="P1" s="13" t="s">
        <v>135</v>
      </c>
      <c r="Q1" s="13" t="s">
        <v>136</v>
      </c>
      <c r="R1" s="13" t="s">
        <v>137</v>
      </c>
      <c r="S1" s="13" t="s">
        <v>127</v>
      </c>
      <c r="T1" s="13"/>
    </row>
    <row r="2" spans="1:20" x14ac:dyDescent="0.2">
      <c r="A2" s="42">
        <v>46175</v>
      </c>
      <c r="B2" s="43">
        <v>300000</v>
      </c>
      <c r="C2" s="14">
        <v>105712</v>
      </c>
      <c r="D2" s="15">
        <v>194288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44">
        <v>300000</v>
      </c>
      <c r="L2" s="16">
        <v>0.35237333333333332</v>
      </c>
      <c r="M2" s="16">
        <v>0.64762666666666668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16">
        <v>0</v>
      </c>
    </row>
    <row r="3" spans="1:20" x14ac:dyDescent="0.2">
      <c r="A3" s="42">
        <v>46176</v>
      </c>
      <c r="B3" s="43">
        <v>300000</v>
      </c>
      <c r="C3" s="14">
        <v>105712</v>
      </c>
      <c r="D3" s="15">
        <v>194288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44">
        <v>300000</v>
      </c>
      <c r="L3" s="16">
        <v>0.35237333333333332</v>
      </c>
      <c r="M3" s="16">
        <v>0.64762666666666668</v>
      </c>
      <c r="N3" s="45">
        <v>0</v>
      </c>
      <c r="O3" s="45">
        <v>0</v>
      </c>
      <c r="P3" s="45">
        <v>0</v>
      </c>
      <c r="Q3" s="45">
        <v>0</v>
      </c>
      <c r="R3" s="45">
        <v>0</v>
      </c>
      <c r="S3" s="16">
        <v>0</v>
      </c>
    </row>
    <row r="4" spans="1:20" x14ac:dyDescent="0.2">
      <c r="A4" s="42">
        <v>46177</v>
      </c>
      <c r="B4" s="43">
        <v>300000</v>
      </c>
      <c r="C4" s="15">
        <v>244380</v>
      </c>
      <c r="D4" s="15">
        <v>55620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44">
        <v>300000</v>
      </c>
      <c r="L4" s="16">
        <v>0.81459999999999999</v>
      </c>
      <c r="M4" s="16">
        <v>0.18540000000000001</v>
      </c>
      <c r="N4" s="45">
        <v>0</v>
      </c>
      <c r="O4" s="45">
        <v>0</v>
      </c>
      <c r="P4" s="45">
        <v>0</v>
      </c>
      <c r="Q4" s="45">
        <v>0</v>
      </c>
      <c r="R4" s="45">
        <v>0</v>
      </c>
      <c r="S4" s="16">
        <v>0</v>
      </c>
    </row>
    <row r="5" spans="1:20" x14ac:dyDescent="0.2">
      <c r="A5" s="42">
        <v>46178</v>
      </c>
      <c r="B5" s="43">
        <v>300000</v>
      </c>
      <c r="C5" s="15">
        <v>244380</v>
      </c>
      <c r="D5" s="15">
        <v>0</v>
      </c>
      <c r="E5" s="15">
        <v>0</v>
      </c>
      <c r="F5" s="15">
        <v>663350</v>
      </c>
      <c r="G5" s="15">
        <v>0</v>
      </c>
      <c r="H5" s="15">
        <v>0</v>
      </c>
      <c r="I5" s="15">
        <v>0</v>
      </c>
      <c r="J5" s="15">
        <v>0</v>
      </c>
      <c r="K5" s="44">
        <v>907730</v>
      </c>
      <c r="L5" s="16">
        <v>0.2692210238727375</v>
      </c>
      <c r="M5" s="16">
        <v>0</v>
      </c>
      <c r="N5" s="45">
        <v>0.7307789761272625</v>
      </c>
      <c r="O5" s="45">
        <v>0</v>
      </c>
      <c r="P5" s="45">
        <v>0</v>
      </c>
      <c r="Q5" s="45">
        <v>0</v>
      </c>
      <c r="R5" s="45">
        <v>0</v>
      </c>
      <c r="S5" s="16">
        <v>0</v>
      </c>
    </row>
    <row r="6" spans="1:20" x14ac:dyDescent="0.2">
      <c r="A6" s="42">
        <v>46181</v>
      </c>
      <c r="B6" s="43">
        <v>300000</v>
      </c>
      <c r="C6" s="15">
        <v>138668</v>
      </c>
      <c r="D6" s="15">
        <v>0</v>
      </c>
      <c r="E6" s="15">
        <v>2894900</v>
      </c>
      <c r="F6" s="15">
        <v>663350</v>
      </c>
      <c r="G6" s="15">
        <v>0</v>
      </c>
      <c r="H6" s="15">
        <v>0</v>
      </c>
      <c r="I6" s="15">
        <v>0</v>
      </c>
      <c r="J6" s="15">
        <v>0</v>
      </c>
      <c r="K6" s="44">
        <v>3696918</v>
      </c>
      <c r="L6" s="16">
        <v>3.7509081889292646E-2</v>
      </c>
      <c r="M6" s="16">
        <v>0</v>
      </c>
      <c r="N6" s="45">
        <v>0.17943324682884501</v>
      </c>
      <c r="O6" s="45">
        <v>0.78305767128186232</v>
      </c>
      <c r="P6" s="45">
        <v>0</v>
      </c>
      <c r="Q6" s="45">
        <v>0</v>
      </c>
      <c r="R6" s="45">
        <v>0</v>
      </c>
      <c r="S6" s="16">
        <v>0</v>
      </c>
    </row>
    <row r="7" spans="1:20" x14ac:dyDescent="0.2">
      <c r="A7" s="42">
        <v>46182</v>
      </c>
      <c r="B7" s="43">
        <v>300000</v>
      </c>
      <c r="C7" s="15">
        <v>138668</v>
      </c>
      <c r="D7" s="15">
        <v>0</v>
      </c>
      <c r="E7" s="15">
        <v>0</v>
      </c>
      <c r="F7" s="15">
        <v>663350</v>
      </c>
      <c r="G7" s="15">
        <v>0</v>
      </c>
      <c r="H7" s="15">
        <v>0</v>
      </c>
      <c r="I7" s="15">
        <v>0</v>
      </c>
      <c r="J7" s="15">
        <v>0</v>
      </c>
      <c r="K7" s="44">
        <v>802018</v>
      </c>
      <c r="L7" s="16">
        <v>0.17289886261904347</v>
      </c>
      <c r="M7" s="16">
        <v>0</v>
      </c>
      <c r="N7" s="45">
        <v>0.82710113738095659</v>
      </c>
      <c r="O7" s="45">
        <v>0</v>
      </c>
      <c r="P7" s="45">
        <v>0</v>
      </c>
      <c r="Q7" s="45">
        <v>0</v>
      </c>
      <c r="R7" s="45">
        <v>0</v>
      </c>
      <c r="S7" s="16">
        <v>0</v>
      </c>
    </row>
    <row r="8" spans="1:20" x14ac:dyDescent="0.2">
      <c r="A8" s="42">
        <v>46183</v>
      </c>
      <c r="B8" s="43">
        <v>300000</v>
      </c>
      <c r="C8" s="15">
        <v>138668</v>
      </c>
      <c r="D8" s="15">
        <v>0</v>
      </c>
      <c r="E8" s="15">
        <v>0</v>
      </c>
      <c r="F8" s="15">
        <v>461469</v>
      </c>
      <c r="G8" s="15">
        <v>0</v>
      </c>
      <c r="H8" s="15">
        <v>0</v>
      </c>
      <c r="I8" s="15">
        <v>0</v>
      </c>
      <c r="J8" s="15">
        <v>0</v>
      </c>
      <c r="K8" s="44">
        <v>600137</v>
      </c>
      <c r="L8" s="16">
        <v>0.23106057450215534</v>
      </c>
      <c r="M8" s="16">
        <v>0</v>
      </c>
      <c r="N8" s="45">
        <v>0.76893942549784466</v>
      </c>
      <c r="O8" s="45">
        <v>0</v>
      </c>
      <c r="P8" s="45">
        <v>0</v>
      </c>
      <c r="Q8" s="45">
        <v>0</v>
      </c>
      <c r="R8" s="45">
        <v>0</v>
      </c>
      <c r="S8" s="16">
        <v>0</v>
      </c>
    </row>
    <row r="9" spans="1:20" x14ac:dyDescent="0.2">
      <c r="A9" s="42">
        <v>46184</v>
      </c>
      <c r="B9" s="43">
        <v>333455.63</v>
      </c>
      <c r="C9" s="15">
        <v>138668</v>
      </c>
      <c r="D9" s="15">
        <v>0</v>
      </c>
      <c r="E9" s="15">
        <v>0</v>
      </c>
      <c r="F9" s="15">
        <v>461469</v>
      </c>
      <c r="G9" s="15">
        <v>0</v>
      </c>
      <c r="H9" s="15">
        <v>0</v>
      </c>
      <c r="I9" s="15">
        <v>0</v>
      </c>
      <c r="J9" s="15">
        <v>0</v>
      </c>
      <c r="K9" s="44">
        <v>600137</v>
      </c>
      <c r="L9" s="16">
        <v>0.23106057450215534</v>
      </c>
      <c r="M9" s="16">
        <v>0</v>
      </c>
      <c r="N9" s="45">
        <v>0.76893942549784466</v>
      </c>
      <c r="O9" s="45">
        <v>0</v>
      </c>
      <c r="P9" s="45">
        <v>0</v>
      </c>
      <c r="Q9" s="45">
        <v>0</v>
      </c>
      <c r="R9" s="45">
        <v>0</v>
      </c>
      <c r="S9" s="16">
        <v>0</v>
      </c>
    </row>
    <row r="10" spans="1:20" x14ac:dyDescent="0.2">
      <c r="A10" s="42">
        <v>46185</v>
      </c>
      <c r="B10" s="43">
        <v>350216.98</v>
      </c>
      <c r="C10" s="15">
        <v>0</v>
      </c>
      <c r="D10" s="15">
        <v>0</v>
      </c>
      <c r="E10" s="15">
        <v>0</v>
      </c>
      <c r="F10" s="15">
        <v>461469</v>
      </c>
      <c r="G10" s="15">
        <v>0</v>
      </c>
      <c r="H10" s="15">
        <v>0</v>
      </c>
      <c r="I10" s="15">
        <v>0</v>
      </c>
      <c r="J10" s="15">
        <v>0</v>
      </c>
      <c r="K10" s="44">
        <v>461469</v>
      </c>
      <c r="L10" s="16">
        <v>0</v>
      </c>
      <c r="M10" s="16">
        <v>0</v>
      </c>
      <c r="N10" s="45">
        <v>1</v>
      </c>
      <c r="O10" s="45">
        <v>0</v>
      </c>
      <c r="P10" s="45">
        <v>0</v>
      </c>
      <c r="Q10" s="45">
        <v>0</v>
      </c>
      <c r="R10" s="45">
        <v>0</v>
      </c>
      <c r="S10" s="16">
        <v>0</v>
      </c>
    </row>
    <row r="11" spans="1:20" x14ac:dyDescent="0.2">
      <c r="A11" s="42">
        <v>46188</v>
      </c>
      <c r="B11" s="43">
        <v>356930.64</v>
      </c>
      <c r="C11" s="15">
        <v>0</v>
      </c>
      <c r="D11" s="15">
        <v>0</v>
      </c>
      <c r="E11" s="15">
        <v>0</v>
      </c>
      <c r="F11" s="15">
        <v>461469</v>
      </c>
      <c r="G11" s="15">
        <v>0</v>
      </c>
      <c r="H11" s="15">
        <v>0</v>
      </c>
      <c r="I11" s="15">
        <v>0</v>
      </c>
      <c r="J11" s="15">
        <v>0</v>
      </c>
      <c r="K11" s="44">
        <v>461469</v>
      </c>
      <c r="L11" s="16">
        <v>0</v>
      </c>
      <c r="M11" s="16">
        <v>0</v>
      </c>
      <c r="N11" s="45">
        <v>1</v>
      </c>
      <c r="O11" s="45">
        <v>0</v>
      </c>
      <c r="P11" s="45">
        <v>0</v>
      </c>
      <c r="Q11" s="45">
        <v>0</v>
      </c>
      <c r="R11" s="45">
        <v>0</v>
      </c>
      <c r="S11" s="16">
        <v>0</v>
      </c>
    </row>
    <row r="12" spans="1:20" x14ac:dyDescent="0.2">
      <c r="A12" s="42">
        <v>46189</v>
      </c>
      <c r="B12" s="43">
        <v>351815.49</v>
      </c>
      <c r="C12" s="15">
        <v>0</v>
      </c>
      <c r="D12" s="15">
        <v>0</v>
      </c>
      <c r="E12" s="15">
        <v>0</v>
      </c>
      <c r="F12" s="15">
        <v>461469</v>
      </c>
      <c r="G12" s="15">
        <v>0</v>
      </c>
      <c r="H12" s="15">
        <v>0</v>
      </c>
      <c r="I12" s="15">
        <v>0</v>
      </c>
      <c r="J12" s="15">
        <v>0</v>
      </c>
      <c r="K12" s="44">
        <v>461469</v>
      </c>
      <c r="L12" s="16">
        <v>0</v>
      </c>
      <c r="M12" s="16">
        <v>0</v>
      </c>
      <c r="N12" s="45">
        <v>1</v>
      </c>
      <c r="O12" s="45">
        <v>0</v>
      </c>
      <c r="P12" s="45">
        <v>0</v>
      </c>
      <c r="Q12" s="45">
        <v>0</v>
      </c>
      <c r="R12" s="45">
        <v>0</v>
      </c>
      <c r="S12" s="16">
        <v>0</v>
      </c>
    </row>
    <row r="13" spans="1:20" x14ac:dyDescent="0.2">
      <c r="A13" s="42">
        <v>46190</v>
      </c>
      <c r="B13" s="43">
        <v>358486.01</v>
      </c>
      <c r="C13" s="15">
        <v>0</v>
      </c>
      <c r="D13" s="15">
        <v>0</v>
      </c>
      <c r="E13" s="15">
        <v>0</v>
      </c>
      <c r="F13" s="15">
        <v>461469</v>
      </c>
      <c r="G13" s="15">
        <v>131240</v>
      </c>
      <c r="H13" s="15">
        <v>0</v>
      </c>
      <c r="I13" s="15">
        <v>0</v>
      </c>
      <c r="J13" s="15">
        <v>0</v>
      </c>
      <c r="K13" s="44">
        <v>592709</v>
      </c>
      <c r="L13" s="16">
        <v>0</v>
      </c>
      <c r="M13" s="16">
        <v>0</v>
      </c>
      <c r="N13" s="45">
        <v>0.77857599597779015</v>
      </c>
      <c r="O13" s="45">
        <v>0</v>
      </c>
      <c r="P13" s="45">
        <v>0.22142400402220988</v>
      </c>
      <c r="Q13" s="45">
        <v>0</v>
      </c>
      <c r="R13" s="45">
        <v>0</v>
      </c>
      <c r="S13" s="16">
        <v>0</v>
      </c>
    </row>
    <row r="14" spans="1:20" x14ac:dyDescent="0.2">
      <c r="A14" s="42">
        <v>46191</v>
      </c>
      <c r="B14" s="43">
        <v>360758.08</v>
      </c>
      <c r="C14" s="15">
        <v>0</v>
      </c>
      <c r="D14" s="15">
        <v>0</v>
      </c>
      <c r="E14" s="15">
        <v>0</v>
      </c>
      <c r="F14" s="15">
        <v>461469</v>
      </c>
      <c r="G14" s="15">
        <v>131240</v>
      </c>
      <c r="H14" s="15">
        <v>0</v>
      </c>
      <c r="I14" s="15">
        <v>0</v>
      </c>
      <c r="J14" s="15">
        <v>0</v>
      </c>
      <c r="K14" s="44">
        <v>592709</v>
      </c>
      <c r="L14" s="16">
        <v>0</v>
      </c>
      <c r="M14" s="16">
        <v>0</v>
      </c>
      <c r="N14" s="45">
        <v>0.77857599597779015</v>
      </c>
      <c r="O14" s="45">
        <v>0</v>
      </c>
      <c r="P14" s="45">
        <v>0.22142400402220988</v>
      </c>
      <c r="Q14" s="45">
        <v>0</v>
      </c>
      <c r="R14" s="45">
        <v>0</v>
      </c>
      <c r="S14" s="16">
        <v>0</v>
      </c>
    </row>
    <row r="15" spans="1:20" x14ac:dyDescent="0.2">
      <c r="A15" s="42">
        <v>46192</v>
      </c>
      <c r="B15" s="43">
        <v>360243.39</v>
      </c>
      <c r="C15" s="15">
        <v>0</v>
      </c>
      <c r="D15" s="15">
        <v>0</v>
      </c>
      <c r="E15" s="15">
        <v>0</v>
      </c>
      <c r="F15" s="15">
        <v>461469</v>
      </c>
      <c r="G15" s="15">
        <v>131240</v>
      </c>
      <c r="H15" s="15">
        <v>0</v>
      </c>
      <c r="I15" s="15">
        <v>0</v>
      </c>
      <c r="J15" s="15">
        <v>0</v>
      </c>
      <c r="K15" s="44">
        <v>592709</v>
      </c>
      <c r="L15" s="16">
        <v>0</v>
      </c>
      <c r="M15" s="16">
        <v>0</v>
      </c>
      <c r="N15" s="45">
        <v>0.77857599597779015</v>
      </c>
      <c r="O15" s="45">
        <v>0</v>
      </c>
      <c r="P15" s="45">
        <v>0.22142400402220988</v>
      </c>
      <c r="Q15" s="45">
        <v>0</v>
      </c>
      <c r="R15" s="45">
        <v>0</v>
      </c>
      <c r="S15" s="16">
        <v>0</v>
      </c>
    </row>
    <row r="16" spans="1:20" x14ac:dyDescent="0.2">
      <c r="A16" s="42">
        <v>46195</v>
      </c>
      <c r="B16" s="43">
        <v>351346.76</v>
      </c>
      <c r="C16" s="15">
        <v>0</v>
      </c>
      <c r="D16" s="15">
        <v>0</v>
      </c>
      <c r="E16" s="15">
        <v>3124781</v>
      </c>
      <c r="F16" s="15">
        <v>461469</v>
      </c>
      <c r="G16" s="15">
        <v>0</v>
      </c>
      <c r="H16" s="15">
        <v>0</v>
      </c>
      <c r="I16" s="15">
        <v>0</v>
      </c>
      <c r="J16" s="15">
        <v>0</v>
      </c>
      <c r="K16" s="44">
        <v>3586250</v>
      </c>
      <c r="L16" s="16">
        <v>0</v>
      </c>
      <c r="M16" s="16">
        <v>0</v>
      </c>
      <c r="N16" s="45">
        <v>0.12867730916695713</v>
      </c>
      <c r="O16" s="45">
        <v>0.87132269083304292</v>
      </c>
      <c r="P16" s="45">
        <v>0</v>
      </c>
      <c r="Q16" s="45">
        <v>0</v>
      </c>
      <c r="R16" s="45">
        <v>0</v>
      </c>
      <c r="S16" s="16">
        <v>0</v>
      </c>
    </row>
    <row r="17" spans="1:19" x14ac:dyDescent="0.2">
      <c r="A17" s="42">
        <v>46196</v>
      </c>
      <c r="B17" s="43">
        <v>352224.24</v>
      </c>
      <c r="C17" s="15">
        <v>0</v>
      </c>
      <c r="D17" s="15">
        <v>0</v>
      </c>
      <c r="E17" s="15">
        <v>3124781</v>
      </c>
      <c r="F17" s="15">
        <v>461469</v>
      </c>
      <c r="G17" s="15">
        <v>0</v>
      </c>
      <c r="H17" s="15">
        <v>0</v>
      </c>
      <c r="I17" s="15">
        <v>0</v>
      </c>
      <c r="J17" s="15">
        <v>0</v>
      </c>
      <c r="K17" s="44">
        <v>3586250</v>
      </c>
      <c r="L17" s="16">
        <v>0</v>
      </c>
      <c r="M17" s="16">
        <v>0</v>
      </c>
      <c r="N17" s="45">
        <v>0.12867730916695713</v>
      </c>
      <c r="O17" s="45">
        <v>0.87132269083304292</v>
      </c>
      <c r="P17" s="45">
        <v>0</v>
      </c>
      <c r="Q17" s="45">
        <v>0</v>
      </c>
      <c r="R17" s="45">
        <v>0</v>
      </c>
      <c r="S17" s="16">
        <v>0</v>
      </c>
    </row>
    <row r="18" spans="1:19" x14ac:dyDescent="0.2">
      <c r="A18" s="42">
        <v>46197</v>
      </c>
      <c r="B18" s="43">
        <v>347929.11</v>
      </c>
      <c r="C18" s="15">
        <v>0</v>
      </c>
      <c r="D18" s="15">
        <v>0</v>
      </c>
      <c r="E18" s="15">
        <v>3124781</v>
      </c>
      <c r="F18" s="15">
        <v>461469</v>
      </c>
      <c r="G18" s="15">
        <v>0</v>
      </c>
      <c r="H18" s="15">
        <v>0</v>
      </c>
      <c r="I18" s="15">
        <v>0</v>
      </c>
      <c r="J18" s="15">
        <v>193096</v>
      </c>
      <c r="K18" s="44">
        <v>3779346</v>
      </c>
      <c r="L18" s="16">
        <v>0</v>
      </c>
      <c r="M18" s="16">
        <v>0</v>
      </c>
      <c r="N18" s="45">
        <v>0.12210287176670249</v>
      </c>
      <c r="O18" s="45">
        <v>0.8268046905469888</v>
      </c>
      <c r="P18" s="45">
        <v>0</v>
      </c>
      <c r="Q18" s="45">
        <v>0</v>
      </c>
      <c r="R18" s="45">
        <v>0</v>
      </c>
      <c r="S18" s="16">
        <v>5.1092437686308688E-2</v>
      </c>
    </row>
    <row r="19" spans="1:19" x14ac:dyDescent="0.2">
      <c r="A19" s="42">
        <v>46198</v>
      </c>
      <c r="B19" s="43">
        <v>349277.46</v>
      </c>
      <c r="C19" s="15">
        <v>0</v>
      </c>
      <c r="D19" s="15">
        <v>0</v>
      </c>
      <c r="E19" s="15">
        <v>3124781</v>
      </c>
      <c r="F19" s="15">
        <v>663594</v>
      </c>
      <c r="G19" s="15">
        <v>0</v>
      </c>
      <c r="H19" s="15">
        <v>0</v>
      </c>
      <c r="I19" s="15">
        <v>0</v>
      </c>
      <c r="J19" s="15">
        <v>193096</v>
      </c>
      <c r="K19" s="44">
        <v>3981471</v>
      </c>
      <c r="L19" s="16">
        <v>0</v>
      </c>
      <c r="M19" s="16">
        <v>0</v>
      </c>
      <c r="N19" s="45">
        <v>0.16667055970017111</v>
      </c>
      <c r="O19" s="45">
        <v>0.78483078239173409</v>
      </c>
      <c r="P19" s="45">
        <v>0</v>
      </c>
      <c r="Q19" s="45">
        <v>0</v>
      </c>
      <c r="R19" s="45">
        <v>0</v>
      </c>
      <c r="S19" s="16">
        <v>4.8498657908094774E-2</v>
      </c>
    </row>
    <row r="20" spans="1:19" x14ac:dyDescent="0.2">
      <c r="A20" s="42">
        <v>46199</v>
      </c>
      <c r="B20" s="43">
        <v>351579.06</v>
      </c>
      <c r="C20" s="15">
        <v>0</v>
      </c>
      <c r="D20" s="15">
        <v>0</v>
      </c>
      <c r="E20" s="15">
        <v>3124781</v>
      </c>
      <c r="F20" s="15">
        <v>663594</v>
      </c>
      <c r="G20" s="15">
        <v>0</v>
      </c>
      <c r="H20" s="15">
        <v>0</v>
      </c>
      <c r="I20" s="15">
        <v>0</v>
      </c>
      <c r="J20" s="15">
        <v>193096</v>
      </c>
      <c r="K20" s="44">
        <v>3981471</v>
      </c>
      <c r="L20" s="16">
        <v>0</v>
      </c>
      <c r="M20" s="16">
        <v>0</v>
      </c>
      <c r="N20" s="45">
        <v>0.16667055970017111</v>
      </c>
      <c r="O20" s="45">
        <v>0.78483078239173409</v>
      </c>
      <c r="P20" s="45">
        <v>0</v>
      </c>
      <c r="Q20" s="45">
        <v>0</v>
      </c>
      <c r="R20" s="45">
        <v>0</v>
      </c>
      <c r="S20" s="16">
        <v>4.8498657908094774E-2</v>
      </c>
    </row>
    <row r="21" spans="1:19" x14ac:dyDescent="0.2">
      <c r="A21" s="42">
        <v>46202</v>
      </c>
      <c r="B21" s="43">
        <v>359661.12</v>
      </c>
      <c r="C21" s="15">
        <v>55035</v>
      </c>
      <c r="D21" s="15">
        <v>0</v>
      </c>
      <c r="E21" s="15">
        <v>3124781</v>
      </c>
      <c r="F21" s="15">
        <v>663594</v>
      </c>
      <c r="G21" s="15">
        <v>0</v>
      </c>
      <c r="H21" s="15">
        <v>0</v>
      </c>
      <c r="I21" s="15">
        <v>0</v>
      </c>
      <c r="J21" s="15">
        <v>416939</v>
      </c>
      <c r="K21" s="44">
        <v>4260349</v>
      </c>
      <c r="L21" s="16">
        <v>1.2917955782495754E-2</v>
      </c>
      <c r="M21" s="16">
        <v>0</v>
      </c>
      <c r="N21" s="45">
        <v>0.1557604787776776</v>
      </c>
      <c r="O21" s="45">
        <v>0.73345657832257405</v>
      </c>
      <c r="P21" s="45">
        <v>0</v>
      </c>
      <c r="Q21" s="45">
        <v>0</v>
      </c>
      <c r="R21" s="45">
        <v>0</v>
      </c>
      <c r="S21" s="16">
        <v>9.7864987117252597E-2</v>
      </c>
    </row>
    <row r="22" spans="1:19" x14ac:dyDescent="0.2">
      <c r="A22" s="42">
        <v>46203</v>
      </c>
      <c r="B22" s="43">
        <v>361447.55</v>
      </c>
      <c r="C22" s="15">
        <v>55035</v>
      </c>
      <c r="D22" s="15">
        <v>0</v>
      </c>
      <c r="E22" s="15">
        <v>3124781</v>
      </c>
      <c r="F22" s="15">
        <v>0</v>
      </c>
      <c r="G22" s="15">
        <v>0</v>
      </c>
      <c r="H22" s="15">
        <v>121064</v>
      </c>
      <c r="I22" s="15">
        <v>0</v>
      </c>
      <c r="J22" s="15">
        <v>223843</v>
      </c>
      <c r="K22" s="44">
        <v>3524723</v>
      </c>
      <c r="L22" s="16">
        <v>1.5613992929373457E-2</v>
      </c>
      <c r="M22" s="16">
        <v>0</v>
      </c>
      <c r="N22" s="45">
        <v>0</v>
      </c>
      <c r="O22" s="45">
        <v>0.88653236013156211</v>
      </c>
      <c r="P22" s="45">
        <v>0</v>
      </c>
      <c r="Q22" s="45">
        <v>3.4347096211532084E-2</v>
      </c>
      <c r="R22" s="45">
        <v>0</v>
      </c>
      <c r="S22" s="16">
        <v>6.3506550727532349E-2</v>
      </c>
    </row>
    <row r="23" spans="1:19" x14ac:dyDescent="0.2">
      <c r="A23" s="42">
        <v>46204</v>
      </c>
      <c r="B23" s="43">
        <v>363377.97</v>
      </c>
      <c r="C23" s="15">
        <v>0</v>
      </c>
      <c r="D23" s="15">
        <v>0</v>
      </c>
      <c r="E23" s="15">
        <v>3124781</v>
      </c>
      <c r="F23" s="15">
        <v>0</v>
      </c>
      <c r="G23" s="15">
        <v>0</v>
      </c>
      <c r="H23" s="15">
        <v>121064</v>
      </c>
      <c r="I23" s="15">
        <v>0</v>
      </c>
      <c r="J23" s="15">
        <v>223843</v>
      </c>
      <c r="K23" s="44">
        <v>3469688</v>
      </c>
      <c r="L23" s="16">
        <v>0</v>
      </c>
      <c r="M23" s="16">
        <v>0</v>
      </c>
      <c r="N23" s="45">
        <v>0</v>
      </c>
      <c r="O23" s="45">
        <v>0.90059423210386635</v>
      </c>
      <c r="P23" s="45">
        <v>0</v>
      </c>
      <c r="Q23" s="45">
        <v>3.4891898061151318E-2</v>
      </c>
      <c r="R23" s="45">
        <v>0</v>
      </c>
      <c r="S23" s="16">
        <v>6.4513869834982279E-2</v>
      </c>
    </row>
    <row r="24" spans="1:19" x14ac:dyDescent="0.2">
      <c r="A24" s="42">
        <v>46205</v>
      </c>
      <c r="B24" s="43">
        <v>374651</v>
      </c>
      <c r="C24" s="15">
        <v>0</v>
      </c>
      <c r="D24" s="15">
        <v>0</v>
      </c>
      <c r="E24" s="15">
        <v>0</v>
      </c>
      <c r="F24" s="15">
        <v>0</v>
      </c>
      <c r="G24" s="15">
        <v>116025</v>
      </c>
      <c r="H24" s="15">
        <v>121064</v>
      </c>
      <c r="I24" s="15">
        <v>0</v>
      </c>
      <c r="J24" s="15">
        <v>223843</v>
      </c>
      <c r="K24" s="44">
        <f>SUM(C24:J24)</f>
        <v>460932</v>
      </c>
      <c r="L24" s="16">
        <v>0</v>
      </c>
      <c r="M24" s="16">
        <v>0</v>
      </c>
      <c r="N24" s="45">
        <v>0</v>
      </c>
      <c r="O24" s="45">
        <v>0</v>
      </c>
      <c r="P24" s="45">
        <f>G24/K24</f>
        <v>0.25171825779073703</v>
      </c>
      <c r="Q24" s="45">
        <f>H24/K24</f>
        <v>0.2626504560325601</v>
      </c>
      <c r="R24" s="45">
        <v>0</v>
      </c>
      <c r="S24" s="16">
        <f>J24/K24</f>
        <v>0.48563128617670287</v>
      </c>
    </row>
    <row r="25" spans="1:19" x14ac:dyDescent="0.2">
      <c r="A25" s="42">
        <v>46206</v>
      </c>
      <c r="B25" s="43">
        <v>374479.39</v>
      </c>
      <c r="C25" s="15">
        <v>0</v>
      </c>
      <c r="D25" s="15">
        <v>29572.390000000014</v>
      </c>
      <c r="E25" s="15">
        <v>0</v>
      </c>
      <c r="F25" s="15">
        <v>0</v>
      </c>
      <c r="G25" s="15">
        <v>0</v>
      </c>
      <c r="H25" s="15">
        <v>121064</v>
      </c>
      <c r="I25" s="15">
        <v>0</v>
      </c>
      <c r="J25" s="15">
        <v>223843</v>
      </c>
      <c r="K25" s="44">
        <v>374479.39</v>
      </c>
      <c r="L25" s="16">
        <v>0</v>
      </c>
      <c r="M25" s="16">
        <v>7.8969339273918415E-2</v>
      </c>
      <c r="N25" s="45">
        <v>0</v>
      </c>
      <c r="O25" s="45">
        <v>0</v>
      </c>
      <c r="P25" s="45">
        <v>0</v>
      </c>
      <c r="Q25" s="45">
        <v>0.32328614933921995</v>
      </c>
      <c r="R25" s="45">
        <v>0</v>
      </c>
      <c r="S25" s="16">
        <v>0.59774451138686158</v>
      </c>
    </row>
    <row r="26" spans="1:19" x14ac:dyDescent="0.2">
      <c r="A26" s="42">
        <v>46209</v>
      </c>
      <c r="B26" s="43">
        <v>372801.92</v>
      </c>
      <c r="C26" s="15">
        <v>0</v>
      </c>
      <c r="D26" s="15">
        <v>27894.919999999984</v>
      </c>
      <c r="E26" s="15">
        <v>0</v>
      </c>
      <c r="F26" s="15">
        <v>0</v>
      </c>
      <c r="G26" s="15">
        <v>0</v>
      </c>
      <c r="H26" s="15">
        <v>121064</v>
      </c>
      <c r="I26" s="15">
        <v>0</v>
      </c>
      <c r="J26" s="15">
        <v>223843</v>
      </c>
      <c r="K26" s="44">
        <v>372801.92</v>
      </c>
      <c r="L26" s="16">
        <v>0</v>
      </c>
      <c r="M26" s="16">
        <v>7.4825043819516768E-2</v>
      </c>
      <c r="N26" s="45">
        <v>0</v>
      </c>
      <c r="O26" s="45">
        <v>0</v>
      </c>
      <c r="P26" s="45">
        <v>0</v>
      </c>
      <c r="Q26" s="45">
        <v>0.32474081678549299</v>
      </c>
      <c r="R26" s="45">
        <v>0</v>
      </c>
      <c r="S26" s="16">
        <v>0.60043413939499024</v>
      </c>
    </row>
    <row r="27" spans="1:19" x14ac:dyDescent="0.2">
      <c r="A27" s="42">
        <v>46210</v>
      </c>
      <c r="B27" s="43">
        <v>375246.11</v>
      </c>
      <c r="C27" s="15">
        <v>0</v>
      </c>
      <c r="D27" s="15">
        <v>30339.109999999986</v>
      </c>
      <c r="E27" s="15">
        <v>0</v>
      </c>
      <c r="F27" s="15">
        <v>0</v>
      </c>
      <c r="G27" s="15">
        <v>0</v>
      </c>
      <c r="H27" s="15">
        <v>121064</v>
      </c>
      <c r="I27" s="15">
        <v>0</v>
      </c>
      <c r="J27" s="15">
        <v>223843</v>
      </c>
      <c r="K27" s="44">
        <v>375246.11</v>
      </c>
      <c r="L27" s="16">
        <v>0</v>
      </c>
      <c r="M27" s="16">
        <v>8.0851231209298838E-2</v>
      </c>
      <c r="N27" s="45">
        <v>0</v>
      </c>
      <c r="O27" s="45">
        <v>0</v>
      </c>
      <c r="P27" s="45">
        <v>0</v>
      </c>
      <c r="Q27" s="45">
        <v>0.32262559630531545</v>
      </c>
      <c r="R27" s="45">
        <v>0</v>
      </c>
      <c r="S27" s="16">
        <v>0.59652317248538567</v>
      </c>
    </row>
    <row r="28" spans="1:19" x14ac:dyDescent="0.2">
      <c r="A28" s="42">
        <v>46211</v>
      </c>
      <c r="B28" s="43">
        <v>377280.97</v>
      </c>
      <c r="C28" s="15">
        <v>90811</v>
      </c>
      <c r="D28" s="15">
        <v>0</v>
      </c>
      <c r="E28" s="15">
        <v>0</v>
      </c>
      <c r="F28" s="15">
        <v>0</v>
      </c>
      <c r="G28" s="15">
        <v>0</v>
      </c>
      <c r="H28" s="15">
        <v>121064</v>
      </c>
      <c r="I28" s="15">
        <v>0</v>
      </c>
      <c r="J28" s="15">
        <v>223843</v>
      </c>
      <c r="K28" s="44">
        <v>435718</v>
      </c>
      <c r="L28" s="16">
        <v>0.20841691185583336</v>
      </c>
      <c r="M28" s="16">
        <v>0</v>
      </c>
      <c r="N28" s="45">
        <v>0</v>
      </c>
      <c r="O28" s="45">
        <v>0</v>
      </c>
      <c r="P28" s="45">
        <v>0</v>
      </c>
      <c r="Q28" s="45">
        <v>0.27784943472613022</v>
      </c>
      <c r="R28" s="45">
        <v>0</v>
      </c>
      <c r="S28" s="16">
        <v>0.51373365341803645</v>
      </c>
    </row>
    <row r="29" spans="1:19" x14ac:dyDescent="0.2">
      <c r="A29" s="42">
        <v>46212</v>
      </c>
      <c r="B29" s="43">
        <v>374471.51</v>
      </c>
      <c r="C29" s="15">
        <v>90811</v>
      </c>
      <c r="D29" s="15">
        <v>0</v>
      </c>
      <c r="E29" s="15">
        <v>0</v>
      </c>
      <c r="F29" s="15">
        <v>0</v>
      </c>
      <c r="G29" s="15">
        <v>0</v>
      </c>
      <c r="H29" s="15">
        <v>121064</v>
      </c>
      <c r="I29" s="15">
        <v>0</v>
      </c>
      <c r="J29" s="15">
        <v>223843</v>
      </c>
      <c r="K29" s="44">
        <v>435718</v>
      </c>
      <c r="L29" s="16">
        <v>0.20841691185583336</v>
      </c>
      <c r="M29" s="16">
        <v>0</v>
      </c>
      <c r="N29" s="45">
        <v>0</v>
      </c>
      <c r="O29" s="45">
        <v>0</v>
      </c>
      <c r="P29" s="45">
        <v>0</v>
      </c>
      <c r="Q29" s="45">
        <v>0.27784943472613022</v>
      </c>
      <c r="R29" s="45">
        <v>0</v>
      </c>
      <c r="S29" s="16">
        <v>0.51373365341803645</v>
      </c>
    </row>
    <row r="30" spans="1:19" x14ac:dyDescent="0.2">
      <c r="A30" s="42">
        <v>46213</v>
      </c>
      <c r="B30" s="43">
        <v>376468.72</v>
      </c>
      <c r="C30" s="15">
        <v>90811</v>
      </c>
      <c r="D30" s="15">
        <v>0</v>
      </c>
      <c r="E30" s="15">
        <v>0</v>
      </c>
      <c r="F30" s="15">
        <v>0</v>
      </c>
      <c r="G30" s="15">
        <v>0</v>
      </c>
      <c r="H30" s="15">
        <v>121064</v>
      </c>
      <c r="I30" s="15">
        <v>0</v>
      </c>
      <c r="J30" s="15">
        <v>223843</v>
      </c>
      <c r="K30" s="44">
        <v>435718</v>
      </c>
      <c r="L30" s="16">
        <v>0.20841691185583336</v>
      </c>
      <c r="M30" s="16">
        <v>0</v>
      </c>
      <c r="N30" s="45">
        <v>0</v>
      </c>
      <c r="O30" s="45">
        <v>0</v>
      </c>
      <c r="P30" s="45">
        <v>0</v>
      </c>
      <c r="Q30" s="45">
        <v>0.27784943472613022</v>
      </c>
      <c r="R30" s="45">
        <v>0</v>
      </c>
      <c r="S30" s="16">
        <v>0.51373365341803645</v>
      </c>
    </row>
    <row r="31" spans="1:19" x14ac:dyDescent="0.2">
      <c r="A31" s="42">
        <v>46216</v>
      </c>
      <c r="B31" s="43">
        <v>379175.63</v>
      </c>
      <c r="C31" s="15">
        <v>90811</v>
      </c>
      <c r="D31" s="15">
        <v>0</v>
      </c>
      <c r="E31" s="15">
        <v>0</v>
      </c>
      <c r="F31" s="15">
        <v>0</v>
      </c>
      <c r="G31" s="15">
        <v>0</v>
      </c>
      <c r="H31" s="15">
        <v>121064</v>
      </c>
      <c r="I31" s="15">
        <v>0</v>
      </c>
      <c r="J31" s="15">
        <v>223843</v>
      </c>
      <c r="K31" s="44">
        <v>435718</v>
      </c>
      <c r="L31" s="16">
        <v>0.20841691185583336</v>
      </c>
      <c r="M31" s="16">
        <v>0</v>
      </c>
      <c r="N31" s="45">
        <v>0</v>
      </c>
      <c r="O31" s="45">
        <v>0</v>
      </c>
      <c r="P31" s="45">
        <v>0</v>
      </c>
      <c r="Q31" s="45">
        <v>0.27784943472613022</v>
      </c>
      <c r="R31" s="45">
        <v>0</v>
      </c>
      <c r="S31" s="16">
        <v>0.51373365341803645</v>
      </c>
    </row>
    <row r="32" spans="1:19" x14ac:dyDescent="0.2">
      <c r="A32" s="42">
        <v>46217</v>
      </c>
      <c r="B32" s="43">
        <v>378852.03</v>
      </c>
      <c r="C32" s="15">
        <v>0</v>
      </c>
      <c r="D32" s="15">
        <v>33945.030000000028</v>
      </c>
      <c r="E32" s="15">
        <v>0</v>
      </c>
      <c r="F32" s="15">
        <v>0</v>
      </c>
      <c r="G32" s="15">
        <v>0</v>
      </c>
      <c r="H32" s="15">
        <v>121064</v>
      </c>
      <c r="I32" s="15">
        <v>0</v>
      </c>
      <c r="J32" s="15">
        <v>223843</v>
      </c>
      <c r="K32" s="44">
        <v>378852.03</v>
      </c>
      <c r="L32" s="16">
        <v>0</v>
      </c>
      <c r="M32" s="16">
        <v>8.9599704665697652E-2</v>
      </c>
      <c r="N32" s="45">
        <v>0</v>
      </c>
      <c r="O32" s="45">
        <v>0</v>
      </c>
      <c r="P32" s="45">
        <v>0</v>
      </c>
      <c r="Q32" s="45">
        <v>0.31955484044786558</v>
      </c>
      <c r="R32" s="45">
        <v>0</v>
      </c>
      <c r="S32" s="16">
        <v>0.5908454548864368</v>
      </c>
    </row>
    <row r="33" spans="1:19" x14ac:dyDescent="0.2">
      <c r="A33" s="42">
        <v>46218</v>
      </c>
      <c r="B33" s="43">
        <v>374437.1</v>
      </c>
      <c r="C33" s="15">
        <v>0</v>
      </c>
      <c r="D33" s="15">
        <v>29530.099999999977</v>
      </c>
      <c r="E33" s="15">
        <v>0</v>
      </c>
      <c r="F33" s="15">
        <v>0</v>
      </c>
      <c r="G33" s="15">
        <v>0</v>
      </c>
      <c r="H33" s="15">
        <v>121064</v>
      </c>
      <c r="I33" s="15">
        <v>0</v>
      </c>
      <c r="J33" s="15">
        <v>223843</v>
      </c>
      <c r="K33" s="44">
        <v>374437.1</v>
      </c>
      <c r="L33" s="16">
        <v>0</v>
      </c>
      <c r="M33" s="16">
        <v>7.8865315429480623E-2</v>
      </c>
      <c r="N33" s="45">
        <v>0</v>
      </c>
      <c r="O33" s="45">
        <v>0</v>
      </c>
      <c r="P33" s="45">
        <v>0</v>
      </c>
      <c r="Q33" s="45">
        <v>0.32332266220414591</v>
      </c>
      <c r="R33" s="45">
        <v>0</v>
      </c>
      <c r="S33" s="16">
        <v>0.59781202236637343</v>
      </c>
    </row>
    <row r="34" spans="1:19" x14ac:dyDescent="0.2">
      <c r="A34" s="42">
        <v>46219</v>
      </c>
      <c r="B34" s="43">
        <v>372248.26</v>
      </c>
      <c r="C34" s="15">
        <v>0</v>
      </c>
      <c r="D34" s="15">
        <v>27341.260000000009</v>
      </c>
      <c r="E34" s="15">
        <v>0</v>
      </c>
      <c r="F34" s="15">
        <v>0</v>
      </c>
      <c r="G34" s="15">
        <v>0</v>
      </c>
      <c r="H34" s="15">
        <v>121064</v>
      </c>
      <c r="I34" s="15">
        <v>0</v>
      </c>
      <c r="J34" s="15">
        <v>223843</v>
      </c>
      <c r="K34" s="44">
        <v>372248.26</v>
      </c>
      <c r="L34" s="16">
        <v>0</v>
      </c>
      <c r="M34" s="16">
        <v>7.3448993421755704E-2</v>
      </c>
      <c r="N34" s="45">
        <v>0</v>
      </c>
      <c r="O34" s="45">
        <v>0</v>
      </c>
      <c r="P34" s="45">
        <v>0</v>
      </c>
      <c r="Q34" s="45">
        <v>0.32522381703006481</v>
      </c>
      <c r="R34" s="45">
        <v>0</v>
      </c>
      <c r="S34" s="16">
        <v>0.60132718954817943</v>
      </c>
    </row>
    <row r="35" spans="1:19" x14ac:dyDescent="0.2">
      <c r="A35" s="42">
        <v>46220</v>
      </c>
      <c r="B35" s="43">
        <v>376025.4</v>
      </c>
      <c r="C35" s="15">
        <v>0</v>
      </c>
      <c r="D35" s="15">
        <v>31118.400000000023</v>
      </c>
      <c r="E35" s="15">
        <v>0</v>
      </c>
      <c r="F35" s="15">
        <v>0</v>
      </c>
      <c r="G35" s="15">
        <v>0</v>
      </c>
      <c r="H35" s="15">
        <v>121064</v>
      </c>
      <c r="I35" s="15">
        <v>0</v>
      </c>
      <c r="J35" s="15">
        <v>223843</v>
      </c>
      <c r="K35" s="44">
        <v>376025.4</v>
      </c>
      <c r="L35" s="16">
        <v>0</v>
      </c>
      <c r="M35" s="16">
        <v>8.2756111688199838E-2</v>
      </c>
      <c r="N35" s="45">
        <v>0</v>
      </c>
      <c r="O35" s="45">
        <v>0</v>
      </c>
      <c r="P35" s="45">
        <v>0</v>
      </c>
      <c r="Q35" s="45">
        <v>0.32195697418312696</v>
      </c>
      <c r="R35" s="45">
        <v>0</v>
      </c>
      <c r="S35" s="16">
        <v>0.59528691412867318</v>
      </c>
    </row>
    <row r="36" spans="1:19" x14ac:dyDescent="0.2">
      <c r="A36" s="42">
        <v>46223</v>
      </c>
      <c r="B36" s="43">
        <v>375009.72</v>
      </c>
      <c r="C36" s="15">
        <v>0</v>
      </c>
      <c r="D36" s="15">
        <v>30102.719999999972</v>
      </c>
      <c r="E36" s="15">
        <v>0</v>
      </c>
      <c r="F36" s="15">
        <v>0</v>
      </c>
      <c r="G36" s="15">
        <v>0</v>
      </c>
      <c r="H36" s="15">
        <v>121064</v>
      </c>
      <c r="I36" s="15">
        <v>0</v>
      </c>
      <c r="J36" s="15">
        <v>223843</v>
      </c>
      <c r="K36" s="44">
        <v>375009.72</v>
      </c>
      <c r="L36" s="16">
        <v>0</v>
      </c>
      <c r="M36" s="16">
        <v>8.0271839353923874E-2</v>
      </c>
      <c r="N36" s="45">
        <v>0</v>
      </c>
      <c r="O36" s="45">
        <v>0</v>
      </c>
      <c r="P36" s="45">
        <v>0</v>
      </c>
      <c r="Q36" s="45">
        <v>0.32282896560654484</v>
      </c>
      <c r="R36" s="45">
        <v>0</v>
      </c>
      <c r="S36" s="16">
        <v>0.59689919503953126</v>
      </c>
    </row>
    <row r="37" spans="1:19" x14ac:dyDescent="0.2">
      <c r="A37" s="42">
        <v>46224</v>
      </c>
      <c r="B37" s="43">
        <v>375731.28</v>
      </c>
      <c r="C37" s="15">
        <v>0</v>
      </c>
      <c r="D37" s="15">
        <v>30824.280000000028</v>
      </c>
      <c r="E37" s="15">
        <v>0</v>
      </c>
      <c r="F37" s="15">
        <v>0</v>
      </c>
      <c r="G37" s="15">
        <v>0</v>
      </c>
      <c r="H37" s="15">
        <v>121064</v>
      </c>
      <c r="I37" s="15">
        <v>0</v>
      </c>
      <c r="J37" s="15">
        <v>223843</v>
      </c>
      <c r="K37" s="44">
        <v>375731.28</v>
      </c>
      <c r="L37" s="16">
        <v>0</v>
      </c>
      <c r="M37" s="16">
        <v>8.2038099143622076E-2</v>
      </c>
      <c r="N37" s="45">
        <v>0</v>
      </c>
      <c r="O37" s="45">
        <v>0</v>
      </c>
      <c r="P37" s="45">
        <v>0</v>
      </c>
      <c r="Q37" s="45">
        <v>0.32220900000660047</v>
      </c>
      <c r="R37" s="45">
        <v>0</v>
      </c>
      <c r="S37" s="16">
        <v>0.5957529008497775</v>
      </c>
    </row>
    <row r="38" spans="1:19" x14ac:dyDescent="0.2">
      <c r="A38" s="42">
        <v>46225</v>
      </c>
      <c r="B38" s="43">
        <v>378174.99</v>
      </c>
      <c r="C38" s="15">
        <v>0</v>
      </c>
      <c r="D38" s="15">
        <v>33267.989999999991</v>
      </c>
      <c r="E38" s="15">
        <v>0</v>
      </c>
      <c r="F38" s="15">
        <v>0</v>
      </c>
      <c r="G38" s="15">
        <v>0</v>
      </c>
      <c r="H38" s="15">
        <v>121064</v>
      </c>
      <c r="I38" s="15">
        <v>0</v>
      </c>
      <c r="J38" s="15">
        <v>223843</v>
      </c>
      <c r="K38" s="44">
        <v>378174.99</v>
      </c>
      <c r="L38" s="16">
        <v>0</v>
      </c>
      <c r="M38" s="16">
        <v>8.79698311091381E-2</v>
      </c>
      <c r="N38" s="45">
        <v>0</v>
      </c>
      <c r="O38" s="45">
        <v>0</v>
      </c>
      <c r="P38" s="45">
        <v>0</v>
      </c>
      <c r="Q38" s="45">
        <v>0.32012693383028845</v>
      </c>
      <c r="R38" s="45">
        <v>0</v>
      </c>
      <c r="S38" s="16">
        <v>0.59190323506057341</v>
      </c>
    </row>
    <row r="39" spans="1:19" x14ac:dyDescent="0.2">
      <c r="A39" s="42">
        <v>46226</v>
      </c>
      <c r="B39" s="43">
        <v>380362.45</v>
      </c>
      <c r="C39" s="15">
        <v>0</v>
      </c>
      <c r="D39" s="15">
        <v>35455.450000000012</v>
      </c>
      <c r="E39" s="15">
        <v>0</v>
      </c>
      <c r="F39" s="15">
        <v>0</v>
      </c>
      <c r="G39" s="15">
        <v>0</v>
      </c>
      <c r="H39" s="15">
        <v>121064</v>
      </c>
      <c r="I39" s="15">
        <v>0</v>
      </c>
      <c r="J39" s="15">
        <v>223843</v>
      </c>
      <c r="K39" s="44">
        <v>380362.45</v>
      </c>
      <c r="L39" s="16">
        <v>0</v>
      </c>
      <c r="M39" s="16">
        <v>9.3214905940373474E-2</v>
      </c>
      <c r="N39" s="45">
        <v>0</v>
      </c>
      <c r="O39" s="45">
        <v>0</v>
      </c>
      <c r="P39" s="45">
        <v>0</v>
      </c>
      <c r="Q39" s="45">
        <v>0.31828588757907095</v>
      </c>
      <c r="R39" s="45">
        <v>0</v>
      </c>
      <c r="S39" s="16">
        <v>0.58849920648055554</v>
      </c>
    </row>
    <row r="40" spans="1:19" x14ac:dyDescent="0.2">
      <c r="A40" s="42">
        <v>46227</v>
      </c>
      <c r="B40" s="43">
        <f>B39-1740-1437</f>
        <v>377185.45</v>
      </c>
      <c r="C40" s="15">
        <v>0</v>
      </c>
      <c r="D40" s="15">
        <v>32278.450000000012</v>
      </c>
      <c r="E40" s="15">
        <v>0</v>
      </c>
      <c r="F40" s="15">
        <v>0</v>
      </c>
      <c r="G40" s="15">
        <v>0</v>
      </c>
      <c r="H40" s="15">
        <v>121064</v>
      </c>
      <c r="I40" s="15">
        <v>0</v>
      </c>
      <c r="J40" s="15">
        <v>223843</v>
      </c>
      <c r="K40" s="44">
        <v>377185.45</v>
      </c>
      <c r="L40" s="16">
        <v>0</v>
      </c>
      <c r="M40" s="16">
        <v>8.5577134536870422E-2</v>
      </c>
      <c r="N40" s="45">
        <v>0</v>
      </c>
      <c r="O40" s="45">
        <v>0</v>
      </c>
      <c r="P40" s="45">
        <v>0</v>
      </c>
      <c r="Q40" s="45">
        <v>0.32096678172501086</v>
      </c>
      <c r="R40" s="45">
        <v>0</v>
      </c>
      <c r="S40" s="16">
        <v>0.59345608373811876</v>
      </c>
    </row>
    <row r="41" spans="1:19" x14ac:dyDescent="0.2">
      <c r="A41" s="42">
        <v>46230</v>
      </c>
      <c r="B41" s="43">
        <f>B40+322+630+1019-936</f>
        <v>378220.45</v>
      </c>
      <c r="C41" s="15">
        <v>0</v>
      </c>
      <c r="D41" s="15">
        <v>33313.450000000012</v>
      </c>
      <c r="E41" s="15">
        <v>0</v>
      </c>
      <c r="F41" s="15">
        <v>0</v>
      </c>
      <c r="G41" s="15">
        <v>0</v>
      </c>
      <c r="H41" s="15">
        <v>121064</v>
      </c>
      <c r="I41" s="15">
        <v>0</v>
      </c>
      <c r="J41" s="15">
        <v>223843</v>
      </c>
      <c r="K41" s="44">
        <v>378220.45</v>
      </c>
      <c r="L41" s="16">
        <v>0</v>
      </c>
      <c r="M41" s="16">
        <v>8.807945207616355E-2</v>
      </c>
      <c r="N41" s="45">
        <v>0</v>
      </c>
      <c r="O41" s="45">
        <v>0</v>
      </c>
      <c r="P41" s="45">
        <v>0</v>
      </c>
      <c r="Q41" s="45">
        <v>0.32008845634867178</v>
      </c>
      <c r="R41" s="45">
        <v>0</v>
      </c>
      <c r="S41" s="16">
        <v>0.5918320915751647</v>
      </c>
    </row>
    <row r="42" spans="1:19" x14ac:dyDescent="0.2">
      <c r="A42" s="42">
        <v>46231</v>
      </c>
      <c r="B42" s="43">
        <f>B41-951+8872.25-771</f>
        <v>385370.7</v>
      </c>
      <c r="C42" s="12">
        <v>334624</v>
      </c>
      <c r="D42" s="13">
        <v>0</v>
      </c>
      <c r="E42" s="15">
        <v>0</v>
      </c>
      <c r="F42" s="15">
        <v>0</v>
      </c>
      <c r="G42" s="15">
        <v>0</v>
      </c>
      <c r="H42" s="15">
        <v>121064</v>
      </c>
      <c r="I42" s="15">
        <v>0</v>
      </c>
      <c r="J42" s="15">
        <v>223843</v>
      </c>
      <c r="K42" s="44">
        <v>679531</v>
      </c>
      <c r="L42" s="16">
        <v>0.49243375210255308</v>
      </c>
      <c r="M42" s="16">
        <v>0</v>
      </c>
      <c r="N42" s="45">
        <v>0</v>
      </c>
      <c r="O42" s="45">
        <v>0</v>
      </c>
      <c r="P42" s="45">
        <v>0</v>
      </c>
      <c r="Q42" s="45">
        <v>0.17815817085607574</v>
      </c>
      <c r="R42" s="45">
        <v>0</v>
      </c>
      <c r="S42" s="16">
        <v>0.32940807704137121</v>
      </c>
    </row>
    <row r="43" spans="1:19" x14ac:dyDescent="0.2">
      <c r="A43" s="42">
        <v>46232</v>
      </c>
      <c r="B43" s="43">
        <f>B42+567+1830-7720+5262</f>
        <v>385309.7</v>
      </c>
      <c r="C43" s="12">
        <v>334624</v>
      </c>
      <c r="D43" s="13">
        <v>0</v>
      </c>
      <c r="E43" s="15">
        <v>0</v>
      </c>
      <c r="F43" s="15">
        <v>0</v>
      </c>
      <c r="G43" s="15">
        <v>0</v>
      </c>
      <c r="H43" s="15">
        <v>121064</v>
      </c>
      <c r="I43" s="15">
        <v>0</v>
      </c>
      <c r="J43" s="15">
        <v>223843</v>
      </c>
      <c r="K43" s="44">
        <v>679531</v>
      </c>
      <c r="L43" s="16">
        <v>0.49243375210255308</v>
      </c>
      <c r="M43" s="16">
        <v>0</v>
      </c>
      <c r="N43" s="45">
        <v>0</v>
      </c>
      <c r="O43" s="45">
        <v>0</v>
      </c>
      <c r="P43" s="45">
        <v>0</v>
      </c>
      <c r="Q43" s="45">
        <v>0.17815817085607574</v>
      </c>
      <c r="R43" s="45">
        <v>0</v>
      </c>
      <c r="S43" s="16">
        <v>0.32940807704137121</v>
      </c>
    </row>
    <row r="44" spans="1:19" x14ac:dyDescent="0.2">
      <c r="A44" s="42">
        <v>46233</v>
      </c>
      <c r="B44" s="43">
        <f>B43+2088+840+8949-5393</f>
        <v>391793.7</v>
      </c>
      <c r="C44" s="12">
        <v>0</v>
      </c>
      <c r="D44" s="15">
        <v>46886.700000000012</v>
      </c>
      <c r="E44" s="15">
        <v>0</v>
      </c>
      <c r="F44" s="15">
        <v>0</v>
      </c>
      <c r="G44" s="15">
        <v>0</v>
      </c>
      <c r="H44" s="15">
        <v>121064</v>
      </c>
      <c r="I44" s="15">
        <v>0</v>
      </c>
      <c r="J44" s="15">
        <v>223843</v>
      </c>
      <c r="K44" s="44">
        <v>391793.7</v>
      </c>
      <c r="L44" s="16">
        <v>0</v>
      </c>
      <c r="M44" s="16">
        <v>0.11967190896637697</v>
      </c>
      <c r="N44" s="45">
        <v>0</v>
      </c>
      <c r="O44" s="45">
        <v>0</v>
      </c>
      <c r="P44" s="45">
        <v>0</v>
      </c>
      <c r="Q44" s="45">
        <v>0.30899935348628627</v>
      </c>
      <c r="R44" s="45">
        <v>0</v>
      </c>
      <c r="S44" s="16">
        <v>0.57132873754733671</v>
      </c>
    </row>
    <row r="45" spans="1:19" x14ac:dyDescent="0.2">
      <c r="A45" s="42">
        <v>46234</v>
      </c>
      <c r="B45" s="43">
        <f>B44-480-2572</f>
        <v>388741.7</v>
      </c>
      <c r="C45" s="12">
        <v>0</v>
      </c>
      <c r="D45" s="15">
        <v>43834.700000000012</v>
      </c>
      <c r="E45" s="15">
        <v>0</v>
      </c>
      <c r="F45" s="15">
        <v>0</v>
      </c>
      <c r="G45" s="15">
        <v>0</v>
      </c>
      <c r="H45" s="15">
        <v>121064</v>
      </c>
      <c r="I45" s="15">
        <v>0</v>
      </c>
      <c r="J45" s="15">
        <v>223843</v>
      </c>
      <c r="K45" s="44">
        <v>388741.7</v>
      </c>
      <c r="L45" s="16">
        <v>0</v>
      </c>
      <c r="M45" s="16">
        <v>0.11276047823014616</v>
      </c>
      <c r="N45" s="45">
        <v>0</v>
      </c>
      <c r="O45" s="45">
        <v>0</v>
      </c>
      <c r="P45" s="45">
        <v>0</v>
      </c>
      <c r="Q45" s="45">
        <v>0.3114252985980151</v>
      </c>
      <c r="R45" s="45">
        <v>0</v>
      </c>
      <c r="S45" s="16">
        <v>0.57581422317183872</v>
      </c>
    </row>
    <row r="46" spans="1:19" x14ac:dyDescent="0.2">
      <c r="A46" s="42">
        <v>46237</v>
      </c>
      <c r="B46" s="43">
        <f>B45-3000-427</f>
        <v>385314.7</v>
      </c>
      <c r="C46" s="12">
        <v>0</v>
      </c>
      <c r="D46" s="15">
        <v>40407.700000000012</v>
      </c>
      <c r="E46" s="15">
        <v>0</v>
      </c>
      <c r="F46" s="15">
        <v>0</v>
      </c>
      <c r="G46" s="15">
        <v>0</v>
      </c>
      <c r="H46" s="15">
        <v>121064</v>
      </c>
      <c r="I46" s="15">
        <v>0</v>
      </c>
      <c r="J46" s="15">
        <v>223843</v>
      </c>
      <c r="K46" s="44">
        <v>385314.7</v>
      </c>
      <c r="L46" s="16">
        <v>0</v>
      </c>
      <c r="M46" s="16">
        <v>0.10486934446051503</v>
      </c>
      <c r="N46" s="45">
        <v>0</v>
      </c>
      <c r="O46" s="45">
        <v>0</v>
      </c>
      <c r="P46" s="45">
        <v>0</v>
      </c>
      <c r="Q46" s="45">
        <v>0.31419512414138362</v>
      </c>
      <c r="R46" s="45">
        <v>0</v>
      </c>
      <c r="S46" s="16">
        <v>0.58093553139810128</v>
      </c>
    </row>
    <row r="47" spans="1:19" x14ac:dyDescent="0.2">
      <c r="A47" s="42">
        <v>46238</v>
      </c>
      <c r="B47" s="43">
        <f>B46-2340+453</f>
        <v>383427.7</v>
      </c>
      <c r="C47" s="12">
        <v>0</v>
      </c>
      <c r="D47" s="15">
        <v>38520.700000000012</v>
      </c>
      <c r="E47" s="15">
        <v>0</v>
      </c>
      <c r="F47" s="15">
        <v>0</v>
      </c>
      <c r="G47" s="15">
        <v>0</v>
      </c>
      <c r="H47" s="15">
        <v>121064</v>
      </c>
      <c r="I47" s="15">
        <v>0</v>
      </c>
      <c r="J47" s="15">
        <v>223843</v>
      </c>
      <c r="K47" s="44">
        <v>383427.7</v>
      </c>
      <c r="L47" s="16">
        <v>0</v>
      </c>
      <c r="M47" s="16">
        <v>0.1004640509801457</v>
      </c>
      <c r="N47" s="45">
        <v>0</v>
      </c>
      <c r="O47" s="45">
        <v>0</v>
      </c>
      <c r="P47" s="45">
        <v>0</v>
      </c>
      <c r="Q47" s="45">
        <v>0.31574140313806226</v>
      </c>
      <c r="R47" s="45">
        <v>0</v>
      </c>
      <c r="S47" s="16">
        <v>0.58379454588179203</v>
      </c>
    </row>
    <row r="48" spans="1:19" x14ac:dyDescent="0.2">
      <c r="A48" s="42">
        <v>46239</v>
      </c>
      <c r="B48" s="43">
        <f>B47+1500-3275</f>
        <v>381652.7</v>
      </c>
      <c r="C48" s="12">
        <v>0</v>
      </c>
      <c r="D48" s="15">
        <v>36745.700000000012</v>
      </c>
      <c r="E48" s="15">
        <v>0</v>
      </c>
      <c r="F48" s="15">
        <v>0</v>
      </c>
      <c r="G48" s="15">
        <v>0</v>
      </c>
      <c r="H48" s="15">
        <v>121064</v>
      </c>
      <c r="I48" s="15">
        <v>0</v>
      </c>
      <c r="J48" s="15">
        <v>223843</v>
      </c>
      <c r="K48" s="44">
        <v>381652.7</v>
      </c>
      <c r="L48" s="16">
        <v>0</v>
      </c>
      <c r="M48" s="16">
        <v>9.6280466507901064E-2</v>
      </c>
      <c r="N48" s="45">
        <v>0</v>
      </c>
      <c r="O48" s="45">
        <v>0</v>
      </c>
      <c r="P48" s="45">
        <v>0</v>
      </c>
      <c r="Q48" s="45">
        <v>0.31720986121675543</v>
      </c>
      <c r="R48" s="45">
        <v>0</v>
      </c>
      <c r="S48" s="16">
        <v>0.58650967227534356</v>
      </c>
    </row>
    <row r="49" spans="1:19" x14ac:dyDescent="0.2">
      <c r="A49" s="42">
        <v>46240</v>
      </c>
      <c r="B49" s="43">
        <f>B48+2550-1004</f>
        <v>383198.7</v>
      </c>
      <c r="C49" s="12">
        <v>0</v>
      </c>
      <c r="D49" s="15">
        <v>38291.700000000012</v>
      </c>
      <c r="E49" s="15">
        <v>0</v>
      </c>
      <c r="F49" s="15">
        <v>0</v>
      </c>
      <c r="G49" s="15">
        <v>0</v>
      </c>
      <c r="H49" s="15">
        <v>121064</v>
      </c>
      <c r="I49" s="15">
        <v>0</v>
      </c>
      <c r="J49" s="15">
        <v>223843</v>
      </c>
      <c r="K49" s="44">
        <v>383198.7</v>
      </c>
      <c r="L49" s="16">
        <v>0</v>
      </c>
      <c r="M49" s="16">
        <v>9.9926487224513055E-2</v>
      </c>
      <c r="N49" s="45">
        <v>0</v>
      </c>
      <c r="O49" s="45">
        <v>0</v>
      </c>
      <c r="P49" s="45">
        <v>0</v>
      </c>
      <c r="Q49" s="45">
        <v>0.31593009057702959</v>
      </c>
      <c r="R49" s="45">
        <v>0</v>
      </c>
      <c r="S49" s="16">
        <v>0.58414342219845738</v>
      </c>
    </row>
    <row r="50" spans="1:19" x14ac:dyDescent="0.2">
      <c r="A50" s="42">
        <v>46241</v>
      </c>
      <c r="B50" s="43">
        <f>B49+840+738</f>
        <v>384776.7</v>
      </c>
      <c r="C50" s="12">
        <v>0</v>
      </c>
      <c r="D50" s="15">
        <v>39869.700000000012</v>
      </c>
      <c r="E50" s="15">
        <v>0</v>
      </c>
      <c r="F50" s="15">
        <v>0</v>
      </c>
      <c r="G50" s="15">
        <v>0</v>
      </c>
      <c r="H50" s="15">
        <v>121064</v>
      </c>
      <c r="I50" s="15">
        <v>0</v>
      </c>
      <c r="J50" s="15">
        <v>223843</v>
      </c>
      <c r="K50" s="44">
        <v>384776.7</v>
      </c>
      <c r="L50" s="16">
        <v>0</v>
      </c>
      <c r="M50" s="16">
        <v>0.10361776063883289</v>
      </c>
      <c r="N50" s="45">
        <v>0</v>
      </c>
      <c r="O50" s="45">
        <v>0</v>
      </c>
      <c r="P50" s="45">
        <v>0</v>
      </c>
      <c r="Q50" s="45">
        <v>0.31463443602484248</v>
      </c>
      <c r="R50" s="45">
        <v>0</v>
      </c>
      <c r="S50" s="16">
        <v>0.5817478033363247</v>
      </c>
    </row>
    <row r="51" spans="1:19" x14ac:dyDescent="0.2">
      <c r="A51" s="42">
        <v>46244</v>
      </c>
      <c r="B51" s="43">
        <f>B50+41+540-398-50</f>
        <v>384909.7</v>
      </c>
      <c r="C51" s="12">
        <v>0</v>
      </c>
      <c r="D51" s="15">
        <v>24412.700000000012</v>
      </c>
      <c r="E51" s="15">
        <v>0</v>
      </c>
      <c r="F51" s="15">
        <v>0</v>
      </c>
      <c r="G51" s="15">
        <v>0</v>
      </c>
      <c r="H51" s="15">
        <v>121064</v>
      </c>
      <c r="I51" s="15">
        <v>185382</v>
      </c>
      <c r="J51" s="13">
        <v>54051</v>
      </c>
      <c r="K51" s="44">
        <v>384909.7</v>
      </c>
      <c r="L51" s="16">
        <v>0</v>
      </c>
      <c r="M51" s="16">
        <v>6.342448631458239E-2</v>
      </c>
      <c r="N51" s="45">
        <v>0</v>
      </c>
      <c r="O51" s="45">
        <v>0</v>
      </c>
      <c r="P51" s="45">
        <v>0</v>
      </c>
      <c r="Q51" s="45">
        <v>0.31452571862959028</v>
      </c>
      <c r="R51" s="45">
        <v>0.48162465118442066</v>
      </c>
      <c r="S51" s="16">
        <v>0.14042514387140673</v>
      </c>
    </row>
    <row r="52" spans="1:19" x14ac:dyDescent="0.2">
      <c r="A52" s="42">
        <v>46245</v>
      </c>
      <c r="B52" s="43">
        <f>B51-40-2340-824-1009-1010</f>
        <v>379686.7</v>
      </c>
      <c r="C52" s="12">
        <v>0</v>
      </c>
      <c r="D52" s="15">
        <v>19189.700000000012</v>
      </c>
      <c r="E52" s="15">
        <v>0</v>
      </c>
      <c r="F52" s="15">
        <v>0</v>
      </c>
      <c r="G52" s="15">
        <v>0</v>
      </c>
      <c r="H52" s="15">
        <v>121064</v>
      </c>
      <c r="I52" s="15">
        <v>185382</v>
      </c>
      <c r="J52" s="13">
        <v>54051</v>
      </c>
      <c r="K52" s="44">
        <v>379686.7</v>
      </c>
      <c r="L52" s="16">
        <v>0</v>
      </c>
      <c r="M52" s="16">
        <v>5.0540880151977961E-2</v>
      </c>
      <c r="N52" s="45">
        <v>0</v>
      </c>
      <c r="O52" s="45">
        <v>0</v>
      </c>
      <c r="P52" s="45">
        <v>0</v>
      </c>
      <c r="Q52" s="45">
        <v>0.31885235906340675</v>
      </c>
      <c r="R52" s="45">
        <v>0.48824991762945608</v>
      </c>
      <c r="S52" s="16">
        <v>0.14235684315515923</v>
      </c>
    </row>
    <row r="53" spans="1:19" x14ac:dyDescent="0.2">
      <c r="A53" s="42">
        <v>46246</v>
      </c>
      <c r="B53" s="43">
        <f>B52-205-1710-410+2950-212+6683-2764-240</f>
        <v>383778.7</v>
      </c>
      <c r="C53" s="12">
        <v>0</v>
      </c>
      <c r="D53" s="13">
        <v>0</v>
      </c>
      <c r="E53" s="15">
        <v>0</v>
      </c>
      <c r="F53" s="15">
        <v>0</v>
      </c>
      <c r="G53" s="15">
        <v>182705</v>
      </c>
      <c r="H53" s="15">
        <v>121064</v>
      </c>
      <c r="I53" s="15">
        <v>154290</v>
      </c>
      <c r="J53" s="13">
        <v>218671</v>
      </c>
      <c r="K53" s="44">
        <f>SUM(C53:J53)</f>
        <v>676730</v>
      </c>
      <c r="L53" s="16">
        <v>0</v>
      </c>
      <c r="M53" s="16">
        <v>0</v>
      </c>
      <c r="N53" s="45">
        <v>0</v>
      </c>
      <c r="O53" s="45">
        <v>0</v>
      </c>
      <c r="P53" s="45">
        <f>G53/K53</f>
        <v>0.2699821199001079</v>
      </c>
      <c r="Q53" s="45">
        <f>H53/K53</f>
        <v>0.17889557135046474</v>
      </c>
      <c r="R53" s="45">
        <f>I53/K53</f>
        <v>0.22799343903772554</v>
      </c>
      <c r="S53" s="16">
        <f>J53/K53</f>
        <v>0.32312886971170185</v>
      </c>
    </row>
    <row r="54" spans="1:19" x14ac:dyDescent="0.2">
      <c r="A54" s="42">
        <v>46247</v>
      </c>
      <c r="B54" s="43">
        <f>B53-95-1110+960-1500-1040+875+120</f>
        <v>381988.7</v>
      </c>
      <c r="C54" s="12">
        <v>0</v>
      </c>
      <c r="D54" s="13">
        <v>0</v>
      </c>
      <c r="E54" s="15">
        <v>0</v>
      </c>
      <c r="F54" s="15">
        <v>0</v>
      </c>
      <c r="G54" s="15">
        <v>0</v>
      </c>
      <c r="H54" s="15">
        <v>121064</v>
      </c>
      <c r="I54" s="15">
        <v>154290</v>
      </c>
      <c r="J54" s="13">
        <v>218671</v>
      </c>
      <c r="K54" s="44">
        <v>494025</v>
      </c>
      <c r="L54" s="16">
        <v>0</v>
      </c>
      <c r="M54" s="16">
        <v>0</v>
      </c>
      <c r="N54" s="45">
        <v>0</v>
      </c>
      <c r="O54" s="45">
        <v>0</v>
      </c>
      <c r="P54" s="45">
        <v>0</v>
      </c>
      <c r="Q54" s="45">
        <v>0.24505642427002683</v>
      </c>
      <c r="R54" s="45">
        <v>0.31231212995293761</v>
      </c>
      <c r="S54" s="16">
        <v>0.44263144577703556</v>
      </c>
    </row>
    <row r="55" spans="1:19" x14ac:dyDescent="0.2">
      <c r="A55" s="42">
        <v>46248</v>
      </c>
      <c r="B55" s="43">
        <f>B54+25-540-1100-7593+350-1166-690</f>
        <v>371274.7</v>
      </c>
      <c r="C55" s="12">
        <v>0</v>
      </c>
      <c r="D55" s="13">
        <v>0</v>
      </c>
      <c r="E55" s="15">
        <v>0</v>
      </c>
      <c r="F55" s="15">
        <v>0</v>
      </c>
      <c r="G55" s="15">
        <v>0</v>
      </c>
      <c r="H55" s="15">
        <v>121064</v>
      </c>
      <c r="I55" s="15">
        <v>154290</v>
      </c>
      <c r="J55" s="13">
        <v>218671</v>
      </c>
      <c r="K55" s="44">
        <v>494025</v>
      </c>
      <c r="L55" s="16">
        <v>0</v>
      </c>
      <c r="M55" s="16">
        <v>0</v>
      </c>
      <c r="N55" s="45">
        <v>0</v>
      </c>
      <c r="O55" s="45">
        <v>0</v>
      </c>
      <c r="P55" s="45">
        <v>0</v>
      </c>
      <c r="Q55" s="45">
        <v>0.24505642427002683</v>
      </c>
      <c r="R55" s="45">
        <v>0.31231212995293761</v>
      </c>
      <c r="S55" s="16">
        <v>0.44263144577703556</v>
      </c>
    </row>
    <row r="56" spans="1:19" x14ac:dyDescent="0.2">
      <c r="A56" s="42">
        <v>46251</v>
      </c>
      <c r="B56" s="43">
        <f>B55+95+1620-1380+725+796+220</f>
        <v>373350.7</v>
      </c>
      <c r="C56" s="12">
        <v>0</v>
      </c>
      <c r="D56" s="13">
        <v>0</v>
      </c>
      <c r="E56" s="15">
        <v>0</v>
      </c>
      <c r="F56" s="15">
        <v>0</v>
      </c>
      <c r="G56" s="15">
        <v>0</v>
      </c>
      <c r="H56" s="15">
        <v>121064</v>
      </c>
      <c r="I56" s="15">
        <v>154290</v>
      </c>
      <c r="J56" s="13">
        <v>218671</v>
      </c>
      <c r="K56" s="44">
        <v>494025</v>
      </c>
      <c r="L56" s="16">
        <v>0</v>
      </c>
      <c r="M56" s="16">
        <v>0</v>
      </c>
      <c r="N56" s="45">
        <v>0</v>
      </c>
      <c r="O56" s="45">
        <v>0</v>
      </c>
      <c r="P56" s="45">
        <v>0</v>
      </c>
      <c r="Q56" s="45">
        <v>0.24505642427002683</v>
      </c>
      <c r="R56" s="45">
        <v>0.31231212995293761</v>
      </c>
      <c r="S56" s="16">
        <v>0.44263144577703556</v>
      </c>
    </row>
    <row r="57" spans="1:19" x14ac:dyDescent="0.2">
      <c r="A57" s="42">
        <v>46252</v>
      </c>
      <c r="B57" s="43">
        <f>B56+590+1620+620+1095+826+2690</f>
        <v>380791.7</v>
      </c>
      <c r="C57" s="12">
        <v>0</v>
      </c>
      <c r="D57" s="13">
        <v>0</v>
      </c>
      <c r="E57" s="15">
        <v>0</v>
      </c>
      <c r="F57" s="15">
        <v>0</v>
      </c>
      <c r="G57" s="15">
        <v>0</v>
      </c>
      <c r="H57" s="15">
        <v>121064</v>
      </c>
      <c r="I57" s="15">
        <v>154290</v>
      </c>
      <c r="J57" s="13">
        <v>218671</v>
      </c>
      <c r="K57" s="44">
        <v>494025</v>
      </c>
      <c r="L57" s="16">
        <v>0</v>
      </c>
      <c r="M57" s="16">
        <v>0</v>
      </c>
      <c r="N57" s="45">
        <v>0</v>
      </c>
      <c r="O57" s="45">
        <v>0</v>
      </c>
      <c r="P57" s="45">
        <v>0</v>
      </c>
      <c r="Q57" s="45">
        <v>0.24505642427002683</v>
      </c>
      <c r="R57" s="45">
        <v>0.31231212995293761</v>
      </c>
      <c r="S57" s="16">
        <v>0.44263144577703556</v>
      </c>
    </row>
    <row r="58" spans="1:19" x14ac:dyDescent="0.2">
      <c r="A58" s="42">
        <v>46253</v>
      </c>
      <c r="B58" s="43">
        <f>B57-195+5550+2720-300-3504+1730</f>
        <v>386792.7</v>
      </c>
      <c r="C58" s="12">
        <v>0</v>
      </c>
      <c r="D58" s="13">
        <v>0</v>
      </c>
      <c r="E58" s="15">
        <v>0</v>
      </c>
      <c r="F58" s="15">
        <v>0</v>
      </c>
      <c r="G58" s="15">
        <v>0</v>
      </c>
      <c r="H58" s="15">
        <v>121064</v>
      </c>
      <c r="I58" s="15">
        <v>154290</v>
      </c>
      <c r="J58" s="13">
        <v>218671</v>
      </c>
      <c r="K58" s="44">
        <v>494025</v>
      </c>
      <c r="L58" s="16">
        <v>0</v>
      </c>
      <c r="M58" s="16">
        <v>0</v>
      </c>
      <c r="N58" s="45">
        <v>0</v>
      </c>
      <c r="O58" s="45">
        <v>0</v>
      </c>
      <c r="P58" s="45">
        <v>0</v>
      </c>
      <c r="Q58" s="45">
        <v>0.24505642427002683</v>
      </c>
      <c r="R58" s="45">
        <v>0.31231212995293761</v>
      </c>
      <c r="S58" s="16">
        <v>0.44263144577703556</v>
      </c>
    </row>
    <row r="59" spans="1:19" x14ac:dyDescent="0.2">
      <c r="A59" s="42">
        <v>46254</v>
      </c>
      <c r="B59" s="43">
        <f>B58+155+870-1360+1107.05+1330+1165.8+1267.76</f>
        <v>391328.31</v>
      </c>
      <c r="C59" s="12">
        <v>0</v>
      </c>
      <c r="D59" s="13">
        <v>0</v>
      </c>
      <c r="E59" s="15">
        <v>1451000</v>
      </c>
      <c r="F59" s="15">
        <v>0</v>
      </c>
      <c r="G59" s="15">
        <v>0</v>
      </c>
      <c r="H59" s="15">
        <v>121064</v>
      </c>
      <c r="I59" s="15">
        <v>154290</v>
      </c>
      <c r="J59" s="13">
        <v>218671</v>
      </c>
      <c r="K59" s="44">
        <f>SUM(C59:J59)</f>
        <v>1945025</v>
      </c>
      <c r="L59" s="16">
        <v>0</v>
      </c>
      <c r="M59" s="16">
        <v>0</v>
      </c>
      <c r="N59" s="45">
        <v>0</v>
      </c>
      <c r="O59" s="45">
        <f>E59/K59</f>
        <v>0.7460058354005733</v>
      </c>
      <c r="P59" s="45">
        <v>0</v>
      </c>
      <c r="Q59" s="45">
        <f>H59/K59</f>
        <v>6.2242901762188149E-2</v>
      </c>
      <c r="R59" s="45">
        <f>I59/K59</f>
        <v>7.9325458541663993E-2</v>
      </c>
      <c r="S59" s="16">
        <f>J59/K59</f>
        <v>0.11242580429557461</v>
      </c>
    </row>
    <row r="60" spans="1:19" x14ac:dyDescent="0.2">
      <c r="A60" s="42">
        <v>46255</v>
      </c>
      <c r="B60" s="43">
        <f>B59-445-450-580+585-575-2123</f>
        <v>387740.31</v>
      </c>
      <c r="C60" s="12">
        <v>0</v>
      </c>
      <c r="D60" s="13">
        <v>0</v>
      </c>
      <c r="E60" s="15">
        <v>436235</v>
      </c>
      <c r="F60" s="15">
        <v>0</v>
      </c>
      <c r="G60" s="15">
        <v>0</v>
      </c>
      <c r="H60" s="15">
        <v>121064</v>
      </c>
      <c r="I60" s="15">
        <v>154290</v>
      </c>
      <c r="J60" s="13">
        <v>218671</v>
      </c>
      <c r="K60" s="44">
        <v>930260</v>
      </c>
      <c r="L60" s="16">
        <v>0</v>
      </c>
      <c r="M60" s="16">
        <v>0</v>
      </c>
      <c r="N60" s="45">
        <v>0</v>
      </c>
      <c r="O60" s="45">
        <v>0.46893879130565647</v>
      </c>
      <c r="P60" s="45">
        <v>0</v>
      </c>
      <c r="Q60" s="45">
        <v>0.13013996087115431</v>
      </c>
      <c r="R60" s="45">
        <v>0.16585685722271193</v>
      </c>
      <c r="S60" s="16">
        <v>0.23506439060047729</v>
      </c>
    </row>
    <row r="61" spans="1:19" x14ac:dyDescent="0.2">
      <c r="A61" s="42">
        <v>46258</v>
      </c>
      <c r="B61" s="43">
        <f>B60+105+300+3482+1020+1095+430-311</f>
        <v>393861.31</v>
      </c>
      <c r="C61" s="15">
        <v>133338</v>
      </c>
      <c r="D61" s="13">
        <v>0</v>
      </c>
      <c r="E61" s="15">
        <v>436235</v>
      </c>
      <c r="F61" s="15">
        <v>141200</v>
      </c>
      <c r="G61" s="15">
        <v>0</v>
      </c>
      <c r="H61" s="15">
        <v>121064</v>
      </c>
      <c r="I61" s="15">
        <v>154290</v>
      </c>
      <c r="J61" s="13">
        <v>218671</v>
      </c>
      <c r="K61" s="44">
        <f>SUM(C61:J61)</f>
        <v>1204798</v>
      </c>
      <c r="L61" s="16">
        <f>C61/K61</f>
        <v>0.11067249447625245</v>
      </c>
      <c r="M61" s="16">
        <v>0</v>
      </c>
      <c r="N61" s="45">
        <f>F61/K61</f>
        <v>0.11719806971791122</v>
      </c>
      <c r="O61" s="45">
        <f>E61/K61</f>
        <v>0.36208144435830736</v>
      </c>
      <c r="P61" s="45">
        <v>0</v>
      </c>
      <c r="Q61" s="45">
        <f>H61/K61</f>
        <v>0.10048489456323799</v>
      </c>
      <c r="R61" s="45">
        <f>I61/K61</f>
        <v>0.12806296159190173</v>
      </c>
      <c r="S61" s="16">
        <f>J61/K61</f>
        <v>0.18150013529238926</v>
      </c>
    </row>
    <row r="62" spans="1:19" x14ac:dyDescent="0.2">
      <c r="A62" s="42">
        <v>46259</v>
      </c>
      <c r="B62" s="43">
        <f>B61-390+1290+906-402+1017</f>
        <v>396282.31</v>
      </c>
      <c r="C62" s="12">
        <v>0</v>
      </c>
      <c r="D62" s="15">
        <v>341611.31</v>
      </c>
      <c r="E62" s="15">
        <v>0</v>
      </c>
      <c r="F62" s="15">
        <v>0</v>
      </c>
      <c r="G62" s="15">
        <v>0</v>
      </c>
      <c r="H62" s="15">
        <v>0</v>
      </c>
      <c r="I62" s="15">
        <v>0</v>
      </c>
      <c r="J62" s="13">
        <v>54671</v>
      </c>
      <c r="K62" s="44">
        <v>396282.31</v>
      </c>
      <c r="L62" s="16">
        <v>0</v>
      </c>
      <c r="M62" s="16">
        <v>0.86204027123996529</v>
      </c>
      <c r="N62" s="45">
        <v>0</v>
      </c>
      <c r="O62" s="45">
        <v>0</v>
      </c>
      <c r="P62" s="45">
        <v>0</v>
      </c>
      <c r="Q62" s="45">
        <v>0</v>
      </c>
      <c r="R62" s="45">
        <v>0</v>
      </c>
      <c r="S62" s="16">
        <v>0.13795972876003473</v>
      </c>
    </row>
    <row r="63" spans="1:19" x14ac:dyDescent="0.2">
      <c r="A63" s="42">
        <v>46260</v>
      </c>
      <c r="B63" s="43">
        <f>B62+270-750</f>
        <v>395802.31</v>
      </c>
      <c r="C63" s="12">
        <v>0</v>
      </c>
      <c r="D63" s="15">
        <v>341131.31</v>
      </c>
      <c r="E63" s="15">
        <v>0</v>
      </c>
      <c r="F63" s="15">
        <v>0</v>
      </c>
      <c r="G63" s="15">
        <v>0</v>
      </c>
      <c r="H63" s="15">
        <v>0</v>
      </c>
      <c r="I63" s="15">
        <v>0</v>
      </c>
      <c r="J63" s="13">
        <v>54671</v>
      </c>
      <c r="K63" s="44">
        <v>395802.31</v>
      </c>
      <c r="L63" s="16">
        <v>0</v>
      </c>
      <c r="M63" s="16">
        <v>0.86187296380357159</v>
      </c>
      <c r="N63" s="45">
        <v>0</v>
      </c>
      <c r="O63" s="45">
        <v>0</v>
      </c>
      <c r="P63" s="45">
        <v>0</v>
      </c>
      <c r="Q63" s="45">
        <v>0</v>
      </c>
      <c r="R63" s="45">
        <v>0</v>
      </c>
      <c r="S63" s="16">
        <v>0.13812703619642847</v>
      </c>
    </row>
    <row r="64" spans="1:19" x14ac:dyDescent="0.2">
      <c r="A64" s="42">
        <v>46261</v>
      </c>
      <c r="B64" s="43">
        <f>B63+125+690</f>
        <v>396617.31</v>
      </c>
      <c r="C64" s="12">
        <v>0</v>
      </c>
      <c r="D64" s="15">
        <v>341946.31</v>
      </c>
      <c r="E64" s="15">
        <v>0</v>
      </c>
      <c r="F64" s="15">
        <v>0</v>
      </c>
      <c r="G64" s="15">
        <v>0</v>
      </c>
      <c r="H64" s="15">
        <v>0</v>
      </c>
      <c r="I64" s="15">
        <v>0</v>
      </c>
      <c r="J64" s="13">
        <v>54671</v>
      </c>
      <c r="K64" s="44">
        <v>396617.31</v>
      </c>
      <c r="L64" s="16">
        <v>0</v>
      </c>
      <c r="M64" s="16">
        <v>0.8621567979471193</v>
      </c>
      <c r="N64" s="45">
        <v>0</v>
      </c>
      <c r="O64" s="45">
        <v>0</v>
      </c>
      <c r="P64" s="45">
        <v>0</v>
      </c>
      <c r="Q64" s="45">
        <v>0</v>
      </c>
      <c r="R64" s="45">
        <v>0</v>
      </c>
      <c r="S64" s="16">
        <v>0.13784320205288064</v>
      </c>
    </row>
    <row r="65" spans="1:19" x14ac:dyDescent="0.2">
      <c r="A65" s="42">
        <v>46262</v>
      </c>
      <c r="B65" s="43">
        <f>B64+300</f>
        <v>396917.31</v>
      </c>
      <c r="C65" s="12">
        <v>0</v>
      </c>
      <c r="D65" s="15">
        <v>342246.31</v>
      </c>
      <c r="E65" s="15">
        <v>0</v>
      </c>
      <c r="F65" s="15">
        <v>0</v>
      </c>
      <c r="G65" s="15">
        <v>0</v>
      </c>
      <c r="H65" s="15">
        <v>0</v>
      </c>
      <c r="I65" s="15">
        <v>0</v>
      </c>
      <c r="J65" s="13">
        <v>54671</v>
      </c>
      <c r="K65" s="44">
        <v>396917.31</v>
      </c>
      <c r="L65" s="16">
        <v>0</v>
      </c>
      <c r="M65" s="16">
        <v>0.86226098327634038</v>
      </c>
      <c r="N65" s="45">
        <v>0</v>
      </c>
      <c r="O65" s="45">
        <v>0</v>
      </c>
      <c r="P65" s="45">
        <v>0</v>
      </c>
      <c r="Q65" s="45">
        <v>0</v>
      </c>
      <c r="R65" s="45">
        <v>0</v>
      </c>
      <c r="S65" s="16">
        <v>0.13773901672365965</v>
      </c>
    </row>
    <row r="66" spans="1:19" x14ac:dyDescent="0.2">
      <c r="A66" s="42">
        <v>46265</v>
      </c>
      <c r="B66" s="43">
        <f>B65+135+2220-2.59</f>
        <v>399269.72</v>
      </c>
      <c r="C66" s="12">
        <v>59799</v>
      </c>
      <c r="D66" s="15">
        <v>284799.71999999997</v>
      </c>
      <c r="E66" s="15">
        <v>0</v>
      </c>
      <c r="F66" s="15">
        <v>0</v>
      </c>
      <c r="G66" s="15">
        <v>0</v>
      </c>
      <c r="H66" s="15">
        <v>0</v>
      </c>
      <c r="I66" s="15">
        <v>0</v>
      </c>
      <c r="J66" s="13">
        <v>54671</v>
      </c>
      <c r="K66" s="44">
        <v>399269.72</v>
      </c>
      <c r="L66" s="16">
        <v>0.14977093679931452</v>
      </c>
      <c r="M66" s="16">
        <v>0.71330157468490218</v>
      </c>
      <c r="N66" s="45">
        <v>0</v>
      </c>
      <c r="O66" s="45">
        <v>0</v>
      </c>
      <c r="P66" s="45">
        <v>0</v>
      </c>
      <c r="Q66" s="45">
        <v>0</v>
      </c>
      <c r="R66" s="45">
        <v>0</v>
      </c>
      <c r="S66" s="16">
        <v>0.13692748851578326</v>
      </c>
    </row>
    <row r="67" spans="1:19" x14ac:dyDescent="0.2">
      <c r="A67" s="42">
        <v>46266</v>
      </c>
      <c r="B67" s="43">
        <f>B66+480-562+1405-1361-623+1800+428</f>
        <v>400836.72</v>
      </c>
      <c r="C67" s="12">
        <v>871422</v>
      </c>
      <c r="D67" s="13">
        <v>0</v>
      </c>
      <c r="E67" s="15">
        <v>0</v>
      </c>
      <c r="F67" s="15">
        <v>0</v>
      </c>
      <c r="G67" s="15">
        <v>0</v>
      </c>
      <c r="H67" s="15">
        <v>0</v>
      </c>
      <c r="I67" s="15">
        <v>0</v>
      </c>
      <c r="J67" s="13">
        <v>54671</v>
      </c>
      <c r="K67" s="44">
        <v>926093</v>
      </c>
      <c r="L67" s="16">
        <v>0.94096597209999433</v>
      </c>
      <c r="M67" s="16">
        <v>0</v>
      </c>
      <c r="N67" s="45">
        <v>0</v>
      </c>
      <c r="O67" s="45">
        <v>0</v>
      </c>
      <c r="P67" s="45">
        <v>0</v>
      </c>
      <c r="Q67" s="45">
        <v>0</v>
      </c>
      <c r="R67" s="45">
        <v>0</v>
      </c>
      <c r="S67" s="16">
        <v>5.9034027900005726E-2</v>
      </c>
    </row>
    <row r="68" spans="1:19" x14ac:dyDescent="0.2">
      <c r="A68" s="42">
        <v>46267</v>
      </c>
      <c r="B68" s="43">
        <f>B67-274+71-569+1738+320</f>
        <v>402122.72</v>
      </c>
      <c r="C68" s="12">
        <v>739422</v>
      </c>
      <c r="D68" s="13">
        <v>0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3">
        <v>54671</v>
      </c>
      <c r="K68" s="44">
        <v>794093</v>
      </c>
      <c r="L68" s="16">
        <v>0.93115290022705144</v>
      </c>
      <c r="M68" s="16">
        <v>0</v>
      </c>
      <c r="N68" s="45">
        <v>0</v>
      </c>
      <c r="O68" s="45">
        <v>0</v>
      </c>
      <c r="P68" s="45">
        <v>0</v>
      </c>
      <c r="Q68" s="45">
        <v>0</v>
      </c>
      <c r="R68" s="45">
        <v>0</v>
      </c>
      <c r="S68" s="16">
        <v>6.8847099772948506E-2</v>
      </c>
    </row>
    <row r="69" spans="1:19" x14ac:dyDescent="0.2">
      <c r="A69" s="42">
        <v>46268</v>
      </c>
      <c r="B69" s="43">
        <v>407651</v>
      </c>
      <c r="C69" s="12">
        <v>101060</v>
      </c>
      <c r="D69" s="15">
        <f>B69-C69</f>
        <v>306591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3">
        <v>0</v>
      </c>
      <c r="K69" s="44">
        <f>SUM(C69:J69)</f>
        <v>407651</v>
      </c>
      <c r="L69" s="16">
        <v>0.25051515991027662</v>
      </c>
      <c r="M69" s="16">
        <v>0.74948484008972338</v>
      </c>
      <c r="N69" s="45">
        <v>0</v>
      </c>
      <c r="O69" s="45">
        <v>0</v>
      </c>
      <c r="P69" s="45">
        <v>0</v>
      </c>
      <c r="Q69" s="45">
        <v>0</v>
      </c>
      <c r="R69" s="45">
        <v>0</v>
      </c>
      <c r="S69" s="16">
        <v>0</v>
      </c>
    </row>
    <row r="70" spans="1:19" x14ac:dyDescent="0.2">
      <c r="A70" s="42">
        <v>46269</v>
      </c>
      <c r="B70" s="43">
        <v>408551</v>
      </c>
      <c r="C70" s="12">
        <v>101060</v>
      </c>
      <c r="D70" s="15">
        <f>B70-C70</f>
        <v>307491</v>
      </c>
      <c r="E70" s="15">
        <v>0</v>
      </c>
      <c r="F70" s="15">
        <v>0</v>
      </c>
      <c r="G70" s="15">
        <v>0</v>
      </c>
      <c r="H70" s="15">
        <v>0</v>
      </c>
      <c r="I70" s="15">
        <v>0</v>
      </c>
      <c r="J70" s="13">
        <v>0</v>
      </c>
      <c r="K70" s="44">
        <f>SUM(C70:J70)</f>
        <v>408551</v>
      </c>
      <c r="L70" s="16">
        <f>C70/K70</f>
        <v>0.24736201845057287</v>
      </c>
      <c r="M70" s="16">
        <f>D70/K70</f>
        <v>0.75263798154942707</v>
      </c>
      <c r="N70" s="45">
        <v>0</v>
      </c>
      <c r="O70" s="45">
        <v>0</v>
      </c>
      <c r="P70" s="45">
        <v>0</v>
      </c>
      <c r="Q70" s="45">
        <v>0</v>
      </c>
      <c r="R70" s="45">
        <v>0</v>
      </c>
      <c r="S70" s="16">
        <v>0</v>
      </c>
    </row>
    <row r="1048543" spans="1:1" x14ac:dyDescent="0.2">
      <c r="A1048543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2026-09-05T23:23:56Z</dcterms:modified>
  <cp:category/>
  <cp:contentStatus/>
</cp:coreProperties>
</file>