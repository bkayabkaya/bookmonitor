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40FFD45C-BEA5-4246-8662-BDA36FC01C05}" xr6:coauthVersionLast="47" xr6:coauthVersionMax="47" xr10:uidLastSave="{00000000-0000-0000-0000-000000000000}"/>
  <bookViews>
    <workbookView xWindow="280" yWindow="520" windowWidth="40660" windowHeight="1800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8" i="7" l="1"/>
  <c r="W97" i="7"/>
  <c r="V97" i="7"/>
  <c r="T97" i="7"/>
  <c r="S97" i="7"/>
  <c r="Q97" i="7"/>
  <c r="P97" i="7"/>
  <c r="O97" i="7"/>
  <c r="N97" i="7"/>
  <c r="M97" i="7"/>
  <c r="D97" i="7"/>
  <c r="P62" i="1"/>
  <c r="G79" i="3" a="1"/>
  <c r="G79" i="3" s="1"/>
  <c r="G78" i="3" a="1"/>
  <c r="G78" i="3" s="1"/>
  <c r="G77" i="3"/>
  <c r="G75" i="3"/>
  <c r="G74" i="3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S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D86" i="3"/>
  <c r="C86" i="3"/>
  <c r="B86" i="3"/>
  <c r="B85" i="3"/>
  <c r="V66" i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M98" i="7" l="1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W98" i="7" l="1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E67" i="1"/>
  <c r="E66" i="1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<sst xmlns="http://schemas.openxmlformats.org/spreadsheetml/2006/main" count="965" uniqueCount="634">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</sst>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Normal="100" workbookViewId="0">
      <pane ySplit="1" topLeftCell="A44" activePane="bottomLeft" state="frozen"/>
      <selection activeCell="D1" sqref="D1"/>
      <selection pane="bottomLeft" activeCell="O59" sqref="O59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1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1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1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1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1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1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1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1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1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1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1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1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1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1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1" x14ac:dyDescent="0.25">
      <c r="A47" s="33">
        <v>42</v>
      </c>
      <c r="B47" s="34">
        <v>46288</v>
      </c>
      <c r="C47" s="34">
        <v>46303</v>
      </c>
      <c r="D47" s="35">
        <f t="shared" si="5"/>
        <v>15</v>
      </c>
      <c r="E47" s="33" t="s">
        <v>605</v>
      </c>
      <c r="F47" s="36" t="s">
        <v>606</v>
      </c>
      <c r="G47" s="33" t="s">
        <v>23</v>
      </c>
      <c r="H47" s="36" t="s">
        <v>24</v>
      </c>
      <c r="I47" s="33" t="s">
        <v>25</v>
      </c>
      <c r="J47" s="33" t="s">
        <v>25</v>
      </c>
      <c r="K47" s="33" t="s">
        <v>605</v>
      </c>
      <c r="L47" s="33">
        <v>-600</v>
      </c>
      <c r="M47" s="33">
        <v>268.09100000000001</v>
      </c>
      <c r="N47" s="33">
        <v>262.3</v>
      </c>
      <c r="O47" s="33">
        <v>262.3</v>
      </c>
      <c r="P47" s="39">
        <f>ABS(O47*L47)</f>
        <v>157380</v>
      </c>
      <c r="Q47" s="33">
        <v>10.1</v>
      </c>
      <c r="R47" s="33">
        <v>1</v>
      </c>
      <c r="S47" s="40">
        <f t="shared" si="8"/>
        <v>2.1600874329984955E-2</v>
      </c>
      <c r="T47" s="39">
        <v>3476</v>
      </c>
      <c r="U47" s="41">
        <v>3476</v>
      </c>
    </row>
    <row r="48" spans="1:21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1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46308</v>
      </c>
      <c r="D59" s="56">
        <f t="shared" si="5"/>
        <v>11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531</v>
      </c>
      <c r="K59" s="47" t="s">
        <v>607</v>
      </c>
      <c r="L59" s="47">
        <v>15</v>
      </c>
      <c r="M59" s="47">
        <v>17.53</v>
      </c>
      <c r="N59" s="47" t="s">
        <v>72</v>
      </c>
      <c r="O59" s="47">
        <v>18.100000000000001</v>
      </c>
      <c r="P59" s="49">
        <f>ABS(M59*L59)*100</f>
        <v>26295.000000000004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602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55">
        <v>46308</v>
      </c>
      <c r="D62" s="56">
        <f t="shared" si="5"/>
        <v>5</v>
      </c>
      <c r="E62" s="47" t="s">
        <v>88</v>
      </c>
      <c r="F62" s="48" t="s">
        <v>52</v>
      </c>
      <c r="G62" s="47" t="s">
        <v>30</v>
      </c>
      <c r="H62" s="48" t="s">
        <v>630</v>
      </c>
      <c r="I62" s="47" t="s">
        <v>32</v>
      </c>
      <c r="J62" s="47" t="s">
        <v>122</v>
      </c>
      <c r="K62" s="47" t="s">
        <v>89</v>
      </c>
      <c r="L62" s="47">
        <v>3</v>
      </c>
      <c r="M62" s="47">
        <v>4161</v>
      </c>
      <c r="N62" s="47" t="s">
        <v>72</v>
      </c>
      <c r="O62" s="47">
        <v>4176</v>
      </c>
      <c r="P62" s="49">
        <f>L62*O62*10</f>
        <v>125280</v>
      </c>
      <c r="Q62" s="47">
        <v>8.64</v>
      </c>
      <c r="R62" s="47" t="s">
        <v>72</v>
      </c>
      <c r="S62" s="50" t="s">
        <v>72</v>
      </c>
      <c r="T62" s="49" t="s">
        <v>72</v>
      </c>
      <c r="U62" s="49" t="s">
        <v>72</v>
      </c>
      <c r="V62" s="33">
        <v>138</v>
      </c>
    </row>
    <row r="63" spans="1:22" x14ac:dyDescent="0.25">
      <c r="A63" s="33">
        <v>56</v>
      </c>
      <c r="B63" s="34">
        <v>46303</v>
      </c>
      <c r="C63" s="55">
        <v>46308</v>
      </c>
      <c r="D63" s="56">
        <f t="shared" ref="D63" si="13">C63-B63</f>
        <v>5</v>
      </c>
      <c r="E63" s="47" t="s">
        <v>631</v>
      </c>
      <c r="F63" s="48" t="s">
        <v>632</v>
      </c>
      <c r="G63" s="47" t="s">
        <v>30</v>
      </c>
      <c r="H63" s="48" t="s">
        <v>630</v>
      </c>
      <c r="I63" s="47" t="s">
        <v>32</v>
      </c>
      <c r="J63" s="47" t="s">
        <v>122</v>
      </c>
      <c r="K63" s="47" t="s">
        <v>633</v>
      </c>
      <c r="L63" s="47">
        <v>-8</v>
      </c>
      <c r="M63" s="47">
        <v>6.6361999999999997</v>
      </c>
      <c r="N63" s="47" t="s">
        <v>72</v>
      </c>
      <c r="O63" s="47">
        <v>6.5605000000000002</v>
      </c>
      <c r="P63" s="49">
        <v>131210</v>
      </c>
      <c r="Q63" s="47">
        <v>24.01</v>
      </c>
      <c r="R63" s="47" t="s">
        <v>72</v>
      </c>
      <c r="S63" s="50" t="s">
        <v>72</v>
      </c>
      <c r="T63" s="49" t="s">
        <v>72</v>
      </c>
      <c r="U63" s="49" t="s">
        <v>72</v>
      </c>
      <c r="V63" s="33">
        <v>592</v>
      </c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102</v>
      </c>
      <c r="E66" s="46">
        <f>AVERAGE(D2:D61)</f>
        <v>6.4333333333333336</v>
      </c>
      <c r="F66" s="36"/>
      <c r="H66" s="36"/>
      <c r="U66" s="39">
        <f>SUM(U2:U64)</f>
        <v>84623.47</v>
      </c>
      <c r="V66" s="39">
        <f>SUM(V2:V64)</f>
        <v>1332</v>
      </c>
    </row>
    <row r="67" spans="4:22" x14ac:dyDescent="0.25">
      <c r="D67" s="52" t="s">
        <v>103</v>
      </c>
      <c r="E67" s="46">
        <f>AVERAGE(D2:D11,D13,D15:D61)</f>
        <v>4.6551724137931032</v>
      </c>
      <c r="F67" s="36"/>
      <c r="U67" s="53" t="s">
        <v>104</v>
      </c>
      <c r="V67" s="36" t="s">
        <v>105</v>
      </c>
    </row>
    <row r="68" spans="4:22" x14ac:dyDescent="0.25">
      <c r="F68" s="36"/>
      <c r="U68" s="33" t="s">
        <v>106</v>
      </c>
    </row>
    <row r="69" spans="4:22" x14ac:dyDescent="0.25">
      <c r="F69" s="36"/>
      <c r="U69" s="39">
        <f>U66+V66</f>
        <v>85955.47</v>
      </c>
    </row>
    <row r="70" spans="4:22" x14ac:dyDescent="0.25">
      <c r="F70" s="36"/>
    </row>
    <row r="71" spans="4:22" x14ac:dyDescent="0.25">
      <c r="F71" s="36"/>
      <c r="U71" s="36" t="s">
        <v>107</v>
      </c>
    </row>
    <row r="72" spans="4:22" x14ac:dyDescent="0.25">
      <c r="F72" s="36"/>
      <c r="U72" s="39">
        <v>333000</v>
      </c>
    </row>
    <row r="74" spans="4:22" x14ac:dyDescent="0.25">
      <c r="U74" s="33" t="s">
        <v>108</v>
      </c>
    </row>
    <row r="75" spans="4:22" x14ac:dyDescent="0.25">
      <c r="U75" s="54">
        <f>U69/U72</f>
        <v>0.25812453453453454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1"/>
  <sheetViews>
    <sheetView topLeftCell="A73" zoomScale="200" zoomScaleNormal="200" workbookViewId="0">
      <selection activeCell="I76" sqref="I76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1" si="0">B4-B3</f>
        <v>6713.6600000000326</v>
      </c>
      <c r="D4" s="23">
        <f t="shared" ref="D4:D91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AVERAGE(C3:C91)</f>
        <v>992.9223595505614</v>
      </c>
      <c r="I74" s="27">
        <v>978.78264367816053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_xlfn.STDEV.S(C3:C91)</f>
        <v>4086.8840749527426</v>
      </c>
      <c r="I75" s="27">
        <v>4126.8937638138605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3.8567655745360794</v>
      </c>
      <c r="I76" s="28">
        <v>3.7649849174196888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_xlfn.STDEV.S(D2:D91)*SQRT(252)</f>
        <v>0.1749096544335895</v>
      </c>
      <c r="I77" s="29">
        <v>0.17668183134849275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PRODUCT(1+D3:D91)-1</f>
        <v>0.26501301208197625</v>
      </c>
      <c r="I78" s="29">
        <v>0.25536855714829354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PRODUCT(1+D2:D91)^(252/COUNT(D2:D91))-1</f>
        <v>0.93137221672115644</v>
      </c>
      <c r="I79" s="29">
        <v>0.91798379730044988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89" activePane="bottomLeft" state="frozen"/>
      <selection pane="bottomLeft" activeCell="B99" sqref="B99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8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3">C94/M94</f>
        <v>0.38197726325813941</v>
      </c>
      <c r="O94" s="15">
        <f t="shared" ref="O94" si="74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5">H94/M94</f>
        <v>4.2045116362121306E-2</v>
      </c>
      <c r="T94" s="15">
        <f t="shared" ref="T94" si="76">I94/M94</f>
        <v>0</v>
      </c>
      <c r="U94" s="15">
        <v>0</v>
      </c>
      <c r="V94" s="16">
        <f t="shared" ref="V94" si="77">K94/M94</f>
        <v>0</v>
      </c>
      <c r="W94" s="15">
        <f t="shared" ref="W94" si="78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>B95-C95-H95-L95-F95</f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79">C95/M95</f>
        <v>0</v>
      </c>
      <c r="O95" s="15">
        <f t="shared" ref="O95" si="80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1">H95/M95</f>
        <v>4.2083791068037051E-2</v>
      </c>
      <c r="T95" s="15">
        <f t="shared" ref="T95" si="82">I95/M95</f>
        <v>0</v>
      </c>
      <c r="U95" s="15">
        <v>0</v>
      </c>
      <c r="V95" s="16">
        <f t="shared" ref="V95" si="83">K95/M95</f>
        <v>0</v>
      </c>
      <c r="W95" s="15">
        <f t="shared" ref="W95" si="84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>B96-C96-H96-L96-F96</f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5">C96/M96</f>
        <v>0</v>
      </c>
      <c r="O96" s="15">
        <f t="shared" ref="O96" si="86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7">H96/M96</f>
        <v>6.281503069682999E-2</v>
      </c>
      <c r="T96" s="15">
        <f t="shared" ref="T96" si="88">I96/M96</f>
        <v>0</v>
      </c>
      <c r="U96" s="15">
        <v>0</v>
      </c>
      <c r="V96" s="16">
        <f t="shared" ref="V96" si="89">K96/M96</f>
        <v>0</v>
      </c>
      <c r="W96" s="15">
        <f t="shared" ref="W96" si="90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>B97-C97-H97-L97-F97</f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1">C97/M97</f>
        <v>0</v>
      </c>
      <c r="O97" s="15">
        <f t="shared" ref="O97" si="92">D97/M97</f>
        <v>0.54271385585327414</v>
      </c>
      <c r="P97" s="15">
        <f>F97/M97</f>
        <v>0.39449061470124658</v>
      </c>
      <c r="Q97" s="15">
        <f t="shared" ref="Q97" si="93">E97/M97</f>
        <v>0</v>
      </c>
      <c r="R97" s="15">
        <v>0</v>
      </c>
      <c r="S97" s="15">
        <f t="shared" ref="S97" si="94">H97/M97</f>
        <v>6.2795529445479295E-2</v>
      </c>
      <c r="T97" s="15">
        <f t="shared" ref="T97" si="95">I97/M97</f>
        <v>0</v>
      </c>
      <c r="U97" s="15">
        <v>0</v>
      </c>
      <c r="V97" s="16">
        <f t="shared" ref="V97" si="96">K97/M97</f>
        <v>0</v>
      </c>
      <c r="W97" s="15">
        <f t="shared" ref="W97" si="97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>B98-C98-H98-L98-F98</f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8">C98/M98</f>
        <v>0</v>
      </c>
      <c r="O98" s="15">
        <f t="shared" ref="O98" si="99">D98/M98</f>
        <v>0.32961695106513111</v>
      </c>
      <c r="P98" s="15">
        <f>F98/M98</f>
        <v>0.60804691982002057</v>
      </c>
      <c r="Q98" s="15">
        <f t="shared" ref="Q98" si="100">E98/M98</f>
        <v>0</v>
      </c>
      <c r="R98" s="15">
        <v>0</v>
      </c>
      <c r="S98" s="15">
        <f t="shared" ref="S98" si="101">H98/M98</f>
        <v>6.2336129114848302E-2</v>
      </c>
      <c r="T98" s="15">
        <f t="shared" ref="T98" si="102">I98/M98</f>
        <v>0</v>
      </c>
      <c r="U98" s="15">
        <v>0</v>
      </c>
      <c r="V98" s="16">
        <f t="shared" ref="V98" si="103">K98/M98</f>
        <v>0</v>
      </c>
      <c r="W98" s="15">
        <f t="shared" ref="W98" si="104">L98/M98</f>
        <v>0</v>
      </c>
    </row>
    <row r="1048543" spans="1:1" x14ac:dyDescent="0.25">
      <c r="A1048543" s="10"/>
    </row>
    <row r="1048576" spans="1:1" x14ac:dyDescent="0.25">
      <c r="A1048576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2026-10-15T10:33:38Z</dcterms:modified>
  <cp:category/>
  <cp:contentStatus/>
</cp:coreProperties>
</file>