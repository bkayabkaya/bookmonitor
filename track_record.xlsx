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C61EEE90-9FF4-8B41-A169-64B68F6DF631}" xr6:coauthVersionLast="47" xr6:coauthVersionMax="47" xr10:uidLastSave="{00000000-0000-0000-0000-000000000000}"/>
  <bookViews>
    <workbookView xWindow="19580" yWindow="-41980" windowWidth="48520" windowHeight="3258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94" i="7" l="1"/>
  <c r="W94" i="7"/>
  <c r="V94" i="7"/>
  <c r="T94" i="7"/>
  <c r="S94" i="7"/>
  <c r="Q94" i="7"/>
  <c r="O94" i="7"/>
  <c r="N94" i="7"/>
  <c r="D94" i="7"/>
  <c r="M94" i="7"/>
  <c r="G79" i="3" a="1"/>
  <c r="G79" i="3" s="1"/>
  <c r="G78" i="3" a="1"/>
  <c r="G78" i="3" s="1"/>
  <c r="G77" i="3"/>
  <c r="G75" i="3"/>
  <c r="G76" i="3"/>
  <c r="G74" i="3"/>
  <c r="D87" i="3"/>
  <c r="C87" i="3"/>
  <c r="B87" i="3"/>
  <c r="D63" i="1"/>
  <c r="D62" i="1"/>
  <c r="E67" i="1"/>
  <c r="E66" i="1"/>
  <c r="W93" i="7"/>
  <c r="V93" i="7"/>
  <c r="T93" i="7"/>
  <c r="S93" i="7"/>
  <c r="Q93" i="7"/>
  <c r="O93" i="7"/>
  <c r="N93" i="7"/>
  <c r="M93" i="7"/>
  <c r="U66" i="1"/>
  <c r="S61" i="1"/>
  <c r="P61" i="1"/>
  <c r="P60" i="1"/>
  <c r="D61" i="1"/>
  <c r="D86" i="3"/>
  <c r="C86" i="3"/>
  <c r="B86" i="3"/>
  <c r="B85" i="3"/>
  <c r="V47" i="1"/>
  <c r="V66" i="1" s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P59" i="1"/>
  <c r="D59" i="1"/>
  <c r="D83" i="3"/>
  <c r="C83" i="3"/>
  <c r="B83" i="3"/>
  <c r="S52" i="1"/>
  <c r="M92" i="7" l="1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V92" i="7" l="1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<sst xmlns="http://schemas.openxmlformats.org/spreadsheetml/2006/main" count="970" uniqueCount="634">
  <si>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</si>
  <si>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</si>
  <si>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</si>
  <si>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</si>
  <si>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</si>
  <si>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</si>
  <si>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</si>
  <si>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</si>
  <si>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</si>
  <si>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</si>
  <si>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</si>
  <si>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</si>
  <si>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</si>
  <si>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</si>
  <si>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</si>
  <si>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</si>
  <si>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</si>
  <si>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</si>
  <si>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</si>
  <si>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</si>
  <si>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</si>
  <si>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</si>
  <si>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</si>
  <si>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</si>
  <si>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</si>
  <si>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</si>
  <si>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</si>
  <si>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</si>
  <si>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</si>
  <si>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</si>
  <si>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</si>
  <si>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</si>
  <si>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</si>
  <si>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</si>
  <si>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</si>
  <si>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</si>
  <si>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</si>
  <si>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</si>
  <si>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</si>
  <si>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</si>
  <si>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</si>
  <si>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</si>
  <si>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</si>
  <si>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</si>
  <si>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</si>
  <si>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</si>
  <si>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</si>
  <si>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</si>
  <si>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</si>
  <si>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</si>
  <si>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</si>
  <si>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</si>
  <si>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</si>
  <si>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</si>
  <si>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</si>
  <si>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</si>
  <si>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</si>
  <si>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</si>
  <si>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</si>
  <si>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</si>
  <si>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</si>
  <si>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</si>
  <si>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</si>
  <si>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</si>
  <si>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</si>
  <si>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</si>
  <si>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</si>
  <si>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</si>
  <si>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</si>
  <si>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</si>
  <si>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</si>
  <si>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</si>
  <si>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</si>
  <si>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</si>
  <si>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</si>
  <si>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</si>
  <si>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</si>
  <si>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</si>
  <si>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</si>
  <si>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</si>
  <si>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</si>
  <si>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</si>
  <si>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</si>
  <si>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</si>
  <si>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</si>
  <si>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</si>
  <si>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</si>
  <si>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</si>
  <si>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</si>
  <si>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</si>
  <si>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</si>
  <si>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</si>
  <si>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</si>
  <si>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</si>
  <si>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</si>
  <si>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</si>
  <si>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</si>
  <si>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</si>
  <si>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</si>
  <si>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</si>
  <si>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</si>
  <si>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</si>
  <si>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</si>
  <si>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</si>
  <si>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</si>
  <si>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</si>
  <si>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</si>
  <si>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</si>
  <si>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</si>
  <si>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</si>
  <si>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</si>
  <si>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</si>
  <si>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</si>
  <si>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</si>
  <si>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</si>
  <si>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</si>
  <si>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</si>
  <si>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</si>
  <si>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</si>
  <si>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</si>
  <si>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</si>
  <si>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</si>
  <si>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</si>
  <si>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</si>
  <si>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</si>
  <si>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</si>
  <si>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</si>
  <si>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</si>
  <si>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</si>
  <si>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</si>
  <si>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</si>
  <si>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</si>
  <si>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</si>
  <si>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</si>
  <si>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</si>
  <si>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</si>
  <si>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</si>
  <si>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</si>
  <si>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</si>
  <si>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</si>
  <si>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</si>
  <si>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</si>
  <si>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</si>
  <si>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</si>
  <si>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</si>
  <si>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</si>
  <si>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</si>
  <si>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</si>
  <si>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</si>
  <si>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</si>
  <si>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</si>
  <si>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</si>
  <si>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</si>
  <si>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</si>
  <si>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</si>
  <si>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</si>
  <si>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</si>
  <si>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</si>
  <si>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</si>
  <si>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</si>
  <si>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</si>
  <si>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</si>
  <si>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</si>
  <si>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</si>
  <si>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</si>
  <si>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</si>
  <si>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</si>
  <si>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</si>
  <si>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</si>
  <si>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</si>
  <si>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</si>
  <si>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</si>
  <si>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</si>
  <si>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</si>
  <si>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</si>
  <si>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</si>
  <si>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</si>
  <si>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</si>
  <si>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</si>
  <si>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</si>
  <si>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</si>
  <si>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</si>
  <si>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</si>
  <si>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</si>
  <si>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</si>
  <si>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</si>
  <si>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</si>
  <si>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</si>
  <si>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</si>
  <si>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</si>
  <si>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</si>
  <si>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</si>
  <si>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</si>
  <si>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</si>
  <si>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</si>
  <si>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</si>
  <si>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</si>
  <si>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</si>
  <si>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</si>
  <si>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</si>
  <si>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</si>
  <si>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</si>
  <si>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</si>
  <si>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</si>
  <si>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</si>
  <si>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</si>
  <si>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</si>
  <si>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</si>
  <si>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</si>
  <si>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</si>
  <si>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</si>
  <si>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</si>
  <si>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</si>
  <si>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</si>
  <si>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</si>
  <si>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</si>
  <si>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</si>
  <si>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</si>
  <si>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</si>
  <si>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</si>
  <si>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</si>
  <si>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</si>
  <si>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</si>
  <si>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</si>
  <si>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</si>
  <si>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</si>
  <si>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</si>
  <si>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</si>
  <si>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</si>
  <si>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</si>
  <si>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</si>
  <si>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</si>
  <si>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</si>
  <si>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</si>
  <si>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</si>
  <si>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</si>
  <si>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</si>
  <si>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</si>
  <si>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</si>
  <si>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</si>
  <si>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</si>
  <si>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</si>
  <si>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</si>
  <si>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</si>
  <si>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</si>
  <si>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</si>
  <si>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</si>
  <si>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</si>
  <si>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</si>
  <si>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</si>
  <si>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</si>
  <si>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</si>
  <si>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</si>
  <si>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</si>
  <si>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</si>
  <si>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</si>
  <si>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</si>
  <si>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</si>
  <si>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</si>
  <si>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</si>
  <si>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</si>
  <si>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</si>
  <si>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</si>
  <si>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</si>
  <si>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</si>
  <si>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</si>
  <si>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</si>
  <si>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</si>
  <si>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</si>
  <si>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</si>
  <si>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</si>
  <si>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</si>
  <si>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</si>
  <si>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</si>
  <si>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</si>
  <si>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</si>
  <si>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</si>
  <si>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</si>
  <si>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</si>
  <si>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</si>
  <si>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</si>
  <si>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</si>
  <si>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</si>
  <si>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</si>
  <si>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</si>
  <si>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</si>
  <si>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</si>
  <si>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</si>
  <si>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</si>
  <si>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</si>
  <si>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</si>
  <si>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</si>
  <si>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</si>
  <si>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</si>
  <si>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</si>
  <si>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</si>
  <si>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</si>
  <si>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</si>
  <si>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</si>
  <si>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</si>
  <si>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</si>
  <si>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</si>
  <si>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</si>
  <si>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</si>
  <si>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</si>
  <si>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</si>
  <si>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</si>
  <si>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</si>
  <si>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</si>
  <si>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</si>
  <si>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</si>
  <si>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</si>
  <si>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</si>
  <si>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</si>
  <si>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</si>
  <si>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</si>
  <si>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</si>
  <si>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</si>
  <si>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</si>
  <si>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</si>
  <si>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</si>
  <si>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</si>
  <si>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</si>
  <si>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</si>
  <si>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</si>
  <si>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</si>
  <si>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</si>
  <si>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</si>
  <si>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</si>
  <si>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</si>
  <si>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</si>
  <si>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</si>
  <si>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</si>
  <si>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</si>
  <si>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</si>
  <si>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</si>
  <si>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</si>
  <si>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</si>
  <si>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</si>
  <si>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</si>
  <si>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</si>
  <si>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</si>
  <si>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</si>
  <si>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</si>
  <si>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</si>
  <si>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</si>
  <si>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</si>
  <si>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</si>
  <si>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</si>
  <si>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</si>
  <si>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</si>
  <si>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</si>
  <si>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</si>
  <si>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</si>
  <si>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</si>
  <si>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</si>
  <si>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</si>
  <si>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</si>
  <si>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</si>
  <si>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</si>
  <si>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</si>
  <si>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</si>
  <si>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</si>
  <si>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</si>
  <si>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</si>
  <si>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</si>
  <si>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</si>
  <si>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</si>
  <si>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</si>
  <si>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</si>
  <si>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</si>
  <si>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</si>
  <si>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</si>
  <si>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</si>
  <si>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</si>
  <si>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</si>
  <si>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</si>
  <si>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</si>
  <si>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</si>
  <si>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</si>
  <si>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</si>
  <si>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</si>
  <si>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</si>
  <si>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</si>
  <si>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</si>
  <si>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</si>
  <si>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</si>
  <si>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</si>
  <si>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</si>
  <si>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</si>
  <si>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</si>
  <si>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</si>
  <si>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</si>
  <si>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</si>
  <si>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</si>
  <si>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</si>
  <si>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</si>
  <si>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</si>
  <si>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</si>
  <si>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</si>
  <si>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</si>
  <si>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</si>
  <si>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</si>
  <si>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</si>
  <si>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</si>
  <si>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</si>
  <si>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</si>
  <si>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</si>
  <si>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</si>
  <si>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</si>
  <si>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</si>
  <si>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</si>
  <si>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</si>
  <si>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</si>
  <si>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</si>
  <si>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</si>
  <si>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</si>
  <si>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</si>
  <si>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</si>
  <si>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</si>
  <si>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</si>
  <si>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</si>
  <si>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</si>
  <si>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</si>
  <si>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</si>
  <si>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</si>
  <si>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</si>
  <si>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</si>
  <si>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</si>
  <si>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</si>
  <si>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</si>
  <si>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</si>
  <si>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</si>
  <si>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</si>
  <si>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</si>
  <si>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</si>
  <si>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</si>
  <si>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</si>
  <si>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</si>
  <si>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</si>
  <si>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</si>
  <si>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</si>
  <si>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</si>
  <si>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</si>
  <si>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</si>
  <si>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</si>
  <si>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</si>
  <si>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</si>
  <si>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</si>
  <si>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</si>
  <si>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</si>
  <si>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</si>
  <si>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</si>
  <si>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</si>
  <si>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</si>
  <si>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</si>
  <si>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</si>
  <si>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</si>
  <si>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</si>
  <si>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</si>
  <si>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</si>
  <si>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</si>
  <si>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</si>
  <si>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</si>
  <si>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</si>
  <si>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</si>
  <si>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</si>
  <si>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</si>
  <si>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</si>
  <si>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</si>
  <si>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</si>
  <si>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</si>
  <si>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</si>
  <si>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</si>
  <si>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</si>
  <si>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</si>
  <si>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</si>
  <si>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</si>
  <si>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</si>
  <si>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</si>
  <si>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</si>
  <si>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</si>
  <si>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</si>
  <si>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</si>
  <si>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</si>
  <si>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</si>
  <si>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</si>
  <si>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</si>
  <si>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</si>
  <si>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</si>
  <si>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</si>
  <si>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</si>
  <si>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</si>
  <si>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</si>
  <si>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</si>
  <si>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</si>
  <si>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</si>
  <si>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</si>
  <si>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</si>
  <si>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</si>
  <si>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</si>
  <si>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</si>
  <si>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</si>
  <si>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</si>
  <si>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</si>
  <si>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</si>
  <si>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</si>
  <si>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</si>
  <si>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</si>
  <si>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</si>
  <si>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</si>
  <si>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</si>
  <si>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</si>
  <si>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</si>
  <si>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</si>
  <si>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</si>
  <si>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</si>
  <si>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</si>
  <si>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</si>
  <si>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</si>
  <si>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</si>
  <si>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</si>
  <si>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</si>
  <si>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</si>
  <si>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</si>
  <si>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</si>
  <si>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</si>
  <si>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</si>
  <si>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</si>
  <si>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</si>
  <si>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</si>
  <si>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</si>
  <si>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</si>
  <si>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</si>
  <si>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</si>
  <si>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</si>
  <si>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</si>
  <si>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</si>
  <si>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</si>
  <si>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</si>
  <si>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</si>
  <si>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</si>
  <si>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</si>
  <si>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</si>
  <si>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</si>
  <si>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</si>
  <si>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</si>
  <si>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</si>
  <si>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</si>
  <si>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</si>
  <si>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</si>
  <si>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</si>
  <si>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</si>
  <si>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</si>
  <si>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</si>
  <si>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</si>
  <si>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</si>
  <si>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</si>
  <si>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</si>
  <si>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</si>
  <si>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</si>
  <si>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</si>
  <si>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</si>
  <si>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</si>
  <si>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</si>
  <si>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</si>
  <si>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</si>
  <si>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</si>
  <si>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</si>
  <si>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</si>
  <si>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</si>
  <si>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</si>
  <si>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</si>
  <si>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</si>
  <si>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</si>
  <si>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</si>
  <si>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</si>
  <si>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</si>
  <si>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</si>
  <si>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</si>
  <si>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</si>
  <si>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</si>
  <si>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</si>
  <si>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</si>
  <si>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</si>
  <si>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</si>
  <si>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</si>
  <si>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</si>
  <si>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</si>
  <si>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</si>
  <si>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</si>
  <si>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</si>
  <si>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</si>
  <si>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</si>
  <si>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</si>
  <si>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</si>
  <si>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</si>
  <si>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</si>
  <si>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</si>
  <si>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</si>
  <si>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</si>
  <si>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</si>
  <si>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</si>
  <si>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</si>
  <si>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</si>
  <si>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</si>
  <si>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</si>
  <si>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</si>
  <si>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</si>
  <si>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</si>
  <si>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</si>
  <si>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</si>
  <si>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</si>
  <si>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</si>
  <si>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</si>
  <si>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</si>
  <si>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</si>
  <si>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</si>
  <si>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</si>
  <si>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</si>
  <si>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</si>
  <si>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</si>
  <si>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</si>
  <si>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</si>
  <si>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</si>
  <si>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</si>
  <si>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</si>
  <si>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</si>
  <si>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</si>
  <si>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</si>
  <si>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Long Gold vs Short Copper</t>
  </si>
  <si>
    <t>MHG</t>
  </si>
  <si>
    <t>Copper Futures</t>
  </si>
  <si>
    <t>MHGZ6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</si>
</sst>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zoomScale="110" zoomScaleNormal="110" workbookViewId="0">
      <pane ySplit="1" topLeftCell="A19" activePane="bottomLeft" state="frozen"/>
      <selection activeCell="D1" sqref="D1"/>
      <selection pane="bottomLeft" activeCell="C69" sqref="C69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122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529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122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530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529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122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531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530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532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533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530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529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529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2" si="5">C26-B26</f>
        <v>1</v>
      </c>
      <c r="E26" s="33" t="s">
        <v>88</v>
      </c>
      <c r="F26" s="36" t="s">
        <v>52</v>
      </c>
      <c r="G26" s="33" t="s">
        <v>23</v>
      </c>
      <c r="H26" s="36" t="s">
        <v>24</v>
      </c>
      <c r="I26" s="33" t="s">
        <v>32</v>
      </c>
      <c r="J26" s="33" t="s">
        <v>122</v>
      </c>
      <c r="K26" s="33" t="s">
        <v>89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90</v>
      </c>
      <c r="F27" s="36" t="s">
        <v>91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90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92</v>
      </c>
      <c r="F28" s="36" t="s">
        <v>93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92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94</v>
      </c>
      <c r="F29" s="36" t="s">
        <v>95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94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96</v>
      </c>
      <c r="F30" s="36" t="s">
        <v>97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96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98</v>
      </c>
      <c r="F31" s="36" t="s">
        <v>99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98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100</v>
      </c>
      <c r="F32" s="36" t="s">
        <v>101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100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580</v>
      </c>
      <c r="F33" s="36" t="s">
        <v>581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580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98</v>
      </c>
      <c r="F34" s="36" t="s">
        <v>99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98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582</v>
      </c>
      <c r="F35" s="36" t="s">
        <v>583</v>
      </c>
      <c r="G35" s="33" t="s">
        <v>23</v>
      </c>
      <c r="H35" s="36" t="s">
        <v>24</v>
      </c>
      <c r="I35" s="33" t="s">
        <v>32</v>
      </c>
      <c r="J35" s="33" t="s">
        <v>533</v>
      </c>
      <c r="K35" s="33" t="s">
        <v>582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584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585</v>
      </c>
      <c r="F37" s="36" t="s">
        <v>586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585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587</v>
      </c>
      <c r="F38" s="36" t="s">
        <v>588</v>
      </c>
      <c r="G38" s="33" t="s">
        <v>23</v>
      </c>
      <c r="H38" s="36" t="s">
        <v>24</v>
      </c>
      <c r="I38" s="33" t="s">
        <v>32</v>
      </c>
      <c r="J38" s="33" t="s">
        <v>120</v>
      </c>
      <c r="K38" s="33" t="s">
        <v>587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590</v>
      </c>
      <c r="F39" s="36" t="s">
        <v>591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590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592</v>
      </c>
      <c r="F40" s="36" t="s">
        <v>593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592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594</v>
      </c>
      <c r="F41" s="36" t="s">
        <v>595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594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596</v>
      </c>
      <c r="F42" s="36" t="s">
        <v>597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596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598</v>
      </c>
      <c r="F43" s="36" t="s">
        <v>599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598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600</v>
      </c>
      <c r="F44" s="36" t="s">
        <v>601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600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602</v>
      </c>
      <c r="G45" s="33" t="s">
        <v>23</v>
      </c>
      <c r="H45" s="36" t="s">
        <v>24</v>
      </c>
      <c r="I45" s="33" t="s">
        <v>32</v>
      </c>
      <c r="J45" s="33" t="s">
        <v>533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603</v>
      </c>
      <c r="F46" s="36" t="s">
        <v>604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603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46302</v>
      </c>
      <c r="D47" s="56">
        <f t="shared" si="5"/>
        <v>14</v>
      </c>
      <c r="E47" s="47" t="s">
        <v>605</v>
      </c>
      <c r="F47" s="48" t="s">
        <v>606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605</v>
      </c>
      <c r="L47" s="47">
        <v>-600</v>
      </c>
      <c r="M47" s="47">
        <v>268.09100000000001</v>
      </c>
      <c r="N47" s="47" t="s">
        <v>72</v>
      </c>
      <c r="O47" s="47">
        <v>263.01</v>
      </c>
      <c r="P47" s="49">
        <f>ABS(O47*L47)</f>
        <v>157806</v>
      </c>
      <c r="Q47" s="47">
        <v>10.1</v>
      </c>
      <c r="R47" s="47" t="s">
        <v>72</v>
      </c>
      <c r="S47" s="50" t="s">
        <v>72</v>
      </c>
      <c r="T47" s="49" t="s">
        <v>72</v>
      </c>
      <c r="U47" s="49" t="s">
        <v>72</v>
      </c>
      <c r="V47" s="33">
        <f>(M47-O47)*600</f>
        <v>3048.6000000000104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531</v>
      </c>
      <c r="K48" s="33" t="s">
        <v>607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608</v>
      </c>
      <c r="F49" s="36" t="s">
        <v>609</v>
      </c>
      <c r="G49" s="33" t="s">
        <v>23</v>
      </c>
      <c r="H49" s="36" t="s">
        <v>24</v>
      </c>
      <c r="I49" s="33" t="s">
        <v>32</v>
      </c>
      <c r="J49" s="33" t="s">
        <v>124</v>
      </c>
      <c r="K49" s="33" t="s">
        <v>610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612</v>
      </c>
      <c r="F50" s="36" t="s">
        <v>613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612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614</v>
      </c>
      <c r="F51" s="36" t="s">
        <v>615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614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616</v>
      </c>
      <c r="F52" s="36" t="s">
        <v>617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616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618</v>
      </c>
      <c r="F53" s="36" t="s">
        <v>619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618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620</v>
      </c>
      <c r="F54" s="36" t="s">
        <v>621</v>
      </c>
      <c r="G54" s="33" t="s">
        <v>30</v>
      </c>
      <c r="H54" s="36" t="s">
        <v>622</v>
      </c>
      <c r="I54" s="33" t="s">
        <v>48</v>
      </c>
      <c r="J54" s="33" t="s">
        <v>48</v>
      </c>
      <c r="K54" s="33" t="s">
        <v>620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623</v>
      </c>
      <c r="F55" s="36" t="s">
        <v>624</v>
      </c>
      <c r="G55" s="33" t="s">
        <v>30</v>
      </c>
      <c r="H55" s="36" t="s">
        <v>622</v>
      </c>
      <c r="I55" s="33" t="s">
        <v>48</v>
      </c>
      <c r="J55" s="33" t="s">
        <v>48</v>
      </c>
      <c r="K55" s="33" t="s">
        <v>623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625</v>
      </c>
      <c r="F56" s="36" t="s">
        <v>626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625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1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627</v>
      </c>
      <c r="F57" s="36" t="s">
        <v>628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627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46301</v>
      </c>
      <c r="D59" s="56">
        <f t="shared" si="5"/>
        <v>4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531</v>
      </c>
      <c r="K59" s="47" t="s">
        <v>607</v>
      </c>
      <c r="L59" s="47">
        <v>10</v>
      </c>
      <c r="M59" s="47">
        <v>17.91</v>
      </c>
      <c r="N59" s="47" t="s">
        <v>72</v>
      </c>
      <c r="O59" s="47">
        <v>17.68</v>
      </c>
      <c r="P59" s="49">
        <f>ABS(M59*L59)*100</f>
        <v>17910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-350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529</v>
      </c>
      <c r="K60" s="33" t="s">
        <v>629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f>1406000*1.121</f>
        <v>1576126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A61" s="33">
        <v>55</v>
      </c>
      <c r="B61" s="34">
        <v>46302</v>
      </c>
      <c r="C61" s="34">
        <v>46302</v>
      </c>
      <c r="D61" s="35">
        <f t="shared" si="5"/>
        <v>0</v>
      </c>
      <c r="E61" s="33" t="s">
        <v>34</v>
      </c>
      <c r="F61" s="36" t="s">
        <v>35</v>
      </c>
      <c r="G61" s="33" t="s">
        <v>23</v>
      </c>
      <c r="H61" s="36" t="s">
        <v>24</v>
      </c>
      <c r="I61" s="33" t="s">
        <v>32</v>
      </c>
      <c r="J61" s="33" t="s">
        <v>529</v>
      </c>
      <c r="K61" s="33" t="s">
        <v>629</v>
      </c>
      <c r="L61" s="33">
        <v>15</v>
      </c>
      <c r="M61" s="33">
        <v>1.1217200000000001</v>
      </c>
      <c r="N61" s="33">
        <v>1.12226</v>
      </c>
      <c r="O61" s="33">
        <v>1.12226</v>
      </c>
      <c r="P61" s="39">
        <f>L61*125000*1.121</f>
        <v>2101875</v>
      </c>
      <c r="Q61" s="33">
        <v>73.8</v>
      </c>
      <c r="R61" s="33">
        <v>1</v>
      </c>
      <c r="S61" s="40">
        <f t="shared" si="12"/>
        <v>4.8140355882036952E-4</v>
      </c>
      <c r="T61" s="39">
        <v>1013</v>
      </c>
      <c r="U61" s="41">
        <v>1013</v>
      </c>
    </row>
    <row r="62" spans="1:22" x14ac:dyDescent="0.25">
      <c r="A62" s="33">
        <v>56</v>
      </c>
      <c r="B62" s="34">
        <v>46303</v>
      </c>
      <c r="C62" s="55">
        <v>46303</v>
      </c>
      <c r="D62" s="56">
        <f t="shared" si="5"/>
        <v>0</v>
      </c>
      <c r="E62" s="47" t="s">
        <v>88</v>
      </c>
      <c r="F62" s="48" t="s">
        <v>52</v>
      </c>
      <c r="G62" s="47" t="s">
        <v>30</v>
      </c>
      <c r="H62" s="48" t="s">
        <v>630</v>
      </c>
      <c r="I62" s="47" t="s">
        <v>32</v>
      </c>
      <c r="J62" s="47" t="s">
        <v>122</v>
      </c>
      <c r="K62" s="47" t="s">
        <v>89</v>
      </c>
      <c r="L62" s="47">
        <v>2</v>
      </c>
      <c r="M62" s="47">
        <v>4147.25</v>
      </c>
      <c r="N62" s="47" t="s">
        <v>72</v>
      </c>
      <c r="O62" s="47">
        <v>4160.8</v>
      </c>
      <c r="P62" s="49">
        <v>83214</v>
      </c>
      <c r="Q62" s="47">
        <v>3.2</v>
      </c>
      <c r="R62" s="47" t="s">
        <v>72</v>
      </c>
      <c r="S62" s="50" t="s">
        <v>72</v>
      </c>
      <c r="T62" s="49" t="s">
        <v>72</v>
      </c>
      <c r="U62" s="49" t="s">
        <v>72</v>
      </c>
      <c r="V62" s="33">
        <v>277</v>
      </c>
    </row>
    <row r="63" spans="1:22" x14ac:dyDescent="0.25">
      <c r="A63" s="33">
        <v>56</v>
      </c>
      <c r="B63" s="34">
        <v>46303</v>
      </c>
      <c r="C63" s="55">
        <v>46303</v>
      </c>
      <c r="D63" s="56">
        <f t="shared" ref="D63" si="13">C63-B63</f>
        <v>0</v>
      </c>
      <c r="E63" s="47" t="s">
        <v>631</v>
      </c>
      <c r="F63" s="48" t="s">
        <v>632</v>
      </c>
      <c r="G63" s="47" t="s">
        <v>30</v>
      </c>
      <c r="H63" s="48" t="s">
        <v>630</v>
      </c>
      <c r="I63" s="47" t="s">
        <v>32</v>
      </c>
      <c r="J63" s="47" t="s">
        <v>122</v>
      </c>
      <c r="K63" s="47" t="s">
        <v>633</v>
      </c>
      <c r="L63" s="47">
        <v>-5</v>
      </c>
      <c r="M63" s="47">
        <v>6.6289999999999996</v>
      </c>
      <c r="N63" s="47" t="s">
        <v>72</v>
      </c>
      <c r="O63" s="47">
        <v>6.5579999999999998</v>
      </c>
      <c r="P63" s="49">
        <v>81975</v>
      </c>
      <c r="Q63" s="47">
        <v>3.2</v>
      </c>
      <c r="R63" s="47" t="s">
        <v>72</v>
      </c>
      <c r="S63" s="50" t="s">
        <v>72</v>
      </c>
      <c r="T63" s="49" t="s">
        <v>72</v>
      </c>
      <c r="U63" s="49" t="s">
        <v>72</v>
      </c>
      <c r="V63" s="33">
        <v>888</v>
      </c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102</v>
      </c>
      <c r="E66" s="46">
        <f>AVERAGE(D2:D61)</f>
        <v>6.3</v>
      </c>
      <c r="F66" s="36"/>
      <c r="H66" s="36"/>
      <c r="U66" s="39">
        <f>SUM(U2:U64)</f>
        <v>81147.47</v>
      </c>
      <c r="V66" s="39">
        <f>SUM(V2:V64)</f>
        <v>3863.6000000000104</v>
      </c>
    </row>
    <row r="67" spans="4:22" x14ac:dyDescent="0.25">
      <c r="D67" s="52" t="s">
        <v>103</v>
      </c>
      <c r="E67" s="46">
        <f>AVERAGE(D2:D11,D13,D15:D61)</f>
        <v>4.5172413793103452</v>
      </c>
      <c r="F67" s="36"/>
      <c r="U67" s="53" t="s">
        <v>104</v>
      </c>
      <c r="V67" s="36" t="s">
        <v>105</v>
      </c>
    </row>
    <row r="68" spans="4:22" x14ac:dyDescent="0.25">
      <c r="F68" s="36"/>
      <c r="U68" s="33" t="s">
        <v>106</v>
      </c>
    </row>
    <row r="69" spans="4:22" x14ac:dyDescent="0.25">
      <c r="F69" s="36"/>
      <c r="U69" s="39">
        <f>U66+V66</f>
        <v>85011.07</v>
      </c>
    </row>
    <row r="70" spans="4:22" x14ac:dyDescent="0.25">
      <c r="F70" s="36"/>
    </row>
    <row r="71" spans="4:22" x14ac:dyDescent="0.25">
      <c r="F71" s="36"/>
      <c r="U71" s="36" t="s">
        <v>107</v>
      </c>
    </row>
    <row r="72" spans="4:22" x14ac:dyDescent="0.25">
      <c r="F72" s="36"/>
      <c r="U72" s="39">
        <v>333000</v>
      </c>
    </row>
    <row r="74" spans="4:22" x14ac:dyDescent="0.25">
      <c r="U74" s="33" t="s">
        <v>108</v>
      </c>
    </row>
    <row r="75" spans="4:22" x14ac:dyDescent="0.25">
      <c r="U75" s="54">
        <f>U69/U72</f>
        <v>0.2552884984984985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7"/>
  <sheetViews>
    <sheetView topLeftCell="A51" zoomScale="200" zoomScaleNormal="200" workbookViewId="0">
      <selection activeCell="F83" sqref="F83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109</v>
      </c>
      <c r="B1" s="5" t="s">
        <v>110</v>
      </c>
      <c r="C1" s="22" t="s">
        <v>111</v>
      </c>
      <c r="D1" s="23" t="s">
        <v>112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7" si="0">B4-B3</f>
        <v>6713.6600000000326</v>
      </c>
      <c r="D4" s="23">
        <f t="shared" ref="D4:D87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113</v>
      </c>
      <c r="G74" s="27">
        <f>AVERAGE(C3:C87)</f>
        <v>1014.5069411764701</v>
      </c>
      <c r="I74" s="27">
        <v>998.5129761904758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114</v>
      </c>
      <c r="G75" s="27">
        <f>_xlfn.STDEV.S(C3:C87)</f>
        <v>4165.6841486600597</v>
      </c>
      <c r="I75" s="27">
        <v>4188.0771538061736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115</v>
      </c>
      <c r="G76" s="28">
        <f>(G74/G75)*SQRT(252)</f>
        <v>3.8660632547935578</v>
      </c>
      <c r="I76" s="28">
        <v>3.7847684063843623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116</v>
      </c>
      <c r="G77" s="29">
        <f>_xlfn.STDEV.S(D2:D87)*SQRT(252)</f>
        <v>0.17837525027910547</v>
      </c>
      <c r="I77" s="29">
        <v>0.17936221602538568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117</v>
      </c>
      <c r="G78" s="29" cm="1">
        <f t="array" ref="G78">PRODUCT(1+D3:D87)-1</f>
        <v>0.25860436774327011</v>
      </c>
      <c r="I78" s="29">
        <v>0.25153296701764072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118</v>
      </c>
      <c r="G79" s="29" cm="1">
        <f t="array" ref="G79">PRODUCT(1+D2:D87)^(252/COUNT(D2:D87))-1</f>
        <v>0.96199857349895557</v>
      </c>
      <c r="I79" s="29">
        <v>0.94485730362176024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B86+1458+1100-200</f>
        <v>419689</v>
      </c>
      <c r="C87" s="5">
        <f t="shared" si="0"/>
        <v>2358</v>
      </c>
      <c r="D87" s="23">
        <f t="shared" si="1"/>
        <v>5.650191334935579E-3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U94" sqref="U94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109</v>
      </c>
      <c r="B1" s="6" t="s">
        <v>522</v>
      </c>
      <c r="C1" s="7" t="s">
        <v>523</v>
      </c>
      <c r="D1" s="8" t="s">
        <v>524</v>
      </c>
      <c r="E1" s="8" t="s">
        <v>529</v>
      </c>
      <c r="F1" s="8" t="s">
        <v>122</v>
      </c>
      <c r="G1" s="8" t="s">
        <v>530</v>
      </c>
      <c r="H1" s="8" t="s">
        <v>531</v>
      </c>
      <c r="I1" s="8" t="s">
        <v>533</v>
      </c>
      <c r="J1" s="8" t="s">
        <v>120</v>
      </c>
      <c r="K1" s="8" t="s">
        <v>124</v>
      </c>
      <c r="L1" s="8" t="s">
        <v>48</v>
      </c>
      <c r="M1" s="9" t="s">
        <v>525</v>
      </c>
      <c r="N1" s="8" t="s">
        <v>526</v>
      </c>
      <c r="O1" s="8" t="s">
        <v>527</v>
      </c>
      <c r="P1" s="8" t="s">
        <v>535</v>
      </c>
      <c r="Q1" s="8" t="s">
        <v>536</v>
      </c>
      <c r="R1" s="8" t="s">
        <v>537</v>
      </c>
      <c r="S1" s="8" t="s">
        <v>538</v>
      </c>
      <c r="T1" s="8" t="s">
        <v>539</v>
      </c>
      <c r="U1" s="8" t="s">
        <v>589</v>
      </c>
      <c r="V1" s="8" t="s">
        <v>611</v>
      </c>
      <c r="W1" s="8" t="s">
        <v>528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4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0">C92/M92</f>
        <v>0.3929790871637609</v>
      </c>
      <c r="O92" s="15">
        <f t="shared" ref="O92" si="61">D92/M92</f>
        <v>0.56376480039973942</v>
      </c>
      <c r="P92" s="15">
        <v>0</v>
      </c>
      <c r="Q92" s="15">
        <f>E92/M92</f>
        <v>0</v>
      </c>
      <c r="R92" s="15">
        <v>0</v>
      </c>
      <c r="S92" s="15">
        <f t="shared" ref="S92" si="62">H92/M92</f>
        <v>4.3256112436499732E-2</v>
      </c>
      <c r="T92" s="15">
        <f t="shared" ref="T92" si="63">I92/M92</f>
        <v>0</v>
      </c>
      <c r="U92" s="15">
        <v>0</v>
      </c>
      <c r="V92" s="16">
        <f t="shared" ref="V92" si="64">K92/M92</f>
        <v>0</v>
      </c>
      <c r="W92" s="15">
        <f t="shared" ref="W92" si="65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6">C93/M93</f>
        <v>7.0369192644656187E-2</v>
      </c>
      <c r="O93" s="15">
        <f t="shared" ref="O93" si="67">D93/M93</f>
        <v>0</v>
      </c>
      <c r="P93" s="15">
        <v>0</v>
      </c>
      <c r="Q93" s="15">
        <f>E93/M93</f>
        <v>0.92188510838934634</v>
      </c>
      <c r="R93" s="15">
        <v>0</v>
      </c>
      <c r="S93" s="15">
        <f t="shared" ref="S93" si="68">H93/M93</f>
        <v>7.7456989659974345E-3</v>
      </c>
      <c r="T93" s="15">
        <f t="shared" ref="T93" si="69">I93/M93</f>
        <v>0</v>
      </c>
      <c r="U93" s="15">
        <v>0</v>
      </c>
      <c r="V93" s="16">
        <f t="shared" ref="V93" si="70">K93/M93</f>
        <v>0</v>
      </c>
      <c r="W93" s="15">
        <f t="shared" ref="W93" si="71">L93/M93</f>
        <v>0</v>
      </c>
    </row>
    <row r="94" spans="1:23" x14ac:dyDescent="0.25">
      <c r="A94" s="10">
        <v>46303</v>
      </c>
      <c r="B94" s="11">
        <v>419689</v>
      </c>
      <c r="C94" s="19">
        <v>160440</v>
      </c>
      <c r="D94" s="13">
        <f>B94-C94-H94-L94-F94</f>
        <v>76400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419689</v>
      </c>
      <c r="N94" s="15">
        <f t="shared" ref="N94" si="72">C94/M94</f>
        <v>0.38228307151247709</v>
      </c>
      <c r="O94" s="15">
        <f t="shared" ref="O94" si="73">D94/M94</f>
        <v>0.18203955786308434</v>
      </c>
      <c r="P94" s="15">
        <f>F94/M94</f>
        <v>0.393598593244045</v>
      </c>
      <c r="Q94" s="15">
        <f>E94/M94</f>
        <v>0</v>
      </c>
      <c r="R94" s="15">
        <v>0</v>
      </c>
      <c r="S94" s="15">
        <f t="shared" ref="S94" si="74">H94/M94</f>
        <v>4.2078777380393576E-2</v>
      </c>
      <c r="T94" s="15">
        <f t="shared" ref="T94" si="75">I94/M94</f>
        <v>0</v>
      </c>
      <c r="U94" s="15">
        <v>0</v>
      </c>
      <c r="V94" s="16">
        <f t="shared" ref="V94" si="76">K94/M94</f>
        <v>0</v>
      </c>
      <c r="W94" s="15">
        <f t="shared" ref="W94" si="77">L94/M94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</row>
    <row r="2" spans="1:12" s="1" customFormat="1" x14ac:dyDescent="0.2">
      <c r="A2" s="3" t="s">
        <v>131</v>
      </c>
      <c r="B2" s="3" t="s">
        <v>132</v>
      </c>
      <c r="C2" s="3" t="s">
        <v>133</v>
      </c>
      <c r="D2" s="3" t="s">
        <v>134</v>
      </c>
      <c r="E2" s="3" t="s">
        <v>135</v>
      </c>
      <c r="F2" s="3" t="s">
        <v>136</v>
      </c>
      <c r="G2" s="3" t="s">
        <v>541</v>
      </c>
      <c r="H2" s="3" t="s">
        <v>138</v>
      </c>
      <c r="I2" s="3" t="s">
        <v>139</v>
      </c>
      <c r="J2" s="3" t="s">
        <v>140</v>
      </c>
      <c r="K2" s="3" t="s">
        <v>141</v>
      </c>
      <c r="L2" s="3" t="s">
        <v>142</v>
      </c>
    </row>
    <row r="3" spans="1:12" s="1" customFormat="1" x14ac:dyDescent="0.2">
      <c r="A3" s="3" t="s">
        <v>143</v>
      </c>
      <c r="B3" s="3" t="s">
        <v>144</v>
      </c>
      <c r="C3" s="3" t="s">
        <v>145</v>
      </c>
      <c r="D3" s="3" t="s">
        <v>146</v>
      </c>
      <c r="E3" s="3" t="s">
        <v>147</v>
      </c>
      <c r="F3" s="3" t="s">
        <v>148</v>
      </c>
      <c r="G3" s="3" t="s">
        <v>542</v>
      </c>
      <c r="H3" s="3" t="s">
        <v>150</v>
      </c>
      <c r="I3" s="3" t="s">
        <v>151</v>
      </c>
      <c r="J3" s="3" t="s">
        <v>152</v>
      </c>
      <c r="K3" s="3" t="s">
        <v>153</v>
      </c>
      <c r="L3" s="3" t="s">
        <v>154</v>
      </c>
    </row>
    <row r="4" spans="1:12" s="1" customFormat="1" x14ac:dyDescent="0.2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159</v>
      </c>
      <c r="F4" s="2"/>
      <c r="G4" s="3" t="s">
        <v>137</v>
      </c>
      <c r="H4" s="3" t="s">
        <v>161</v>
      </c>
      <c r="I4" s="3" t="s">
        <v>162</v>
      </c>
      <c r="J4" s="3" t="s">
        <v>163</v>
      </c>
      <c r="K4" s="3" t="s">
        <v>164</v>
      </c>
      <c r="L4" s="3" t="s">
        <v>165</v>
      </c>
    </row>
    <row r="5" spans="1:12" s="1" customFormat="1" x14ac:dyDescent="0.2">
      <c r="A5" s="3" t="s">
        <v>166</v>
      </c>
      <c r="B5" s="3" t="s">
        <v>167</v>
      </c>
      <c r="C5" s="3" t="s">
        <v>168</v>
      </c>
      <c r="D5" s="3" t="s">
        <v>169</v>
      </c>
      <c r="E5" s="3" t="s">
        <v>170</v>
      </c>
      <c r="F5" s="2"/>
      <c r="G5" s="3" t="s">
        <v>149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</row>
    <row r="6" spans="1:12" s="1" customFormat="1" x14ac:dyDescent="0.2">
      <c r="A6" s="3" t="s">
        <v>177</v>
      </c>
      <c r="B6" s="3" t="s">
        <v>178</v>
      </c>
      <c r="C6" s="3" t="s">
        <v>179</v>
      </c>
      <c r="D6" s="3" t="s">
        <v>180</v>
      </c>
      <c r="E6" s="3" t="s">
        <v>181</v>
      </c>
      <c r="F6" s="2"/>
      <c r="G6" s="3" t="s">
        <v>160</v>
      </c>
      <c r="H6" s="3" t="s">
        <v>183</v>
      </c>
      <c r="I6" s="3" t="s">
        <v>184</v>
      </c>
      <c r="J6" s="3" t="s">
        <v>185</v>
      </c>
      <c r="K6" s="3" t="s">
        <v>186</v>
      </c>
      <c r="L6" s="3" t="s">
        <v>187</v>
      </c>
    </row>
    <row r="7" spans="1:12" s="1" customFormat="1" x14ac:dyDescent="0.2">
      <c r="A7" s="3" t="s">
        <v>188</v>
      </c>
      <c r="B7" s="3" t="s">
        <v>189</v>
      </c>
      <c r="C7" s="3" t="s">
        <v>190</v>
      </c>
      <c r="D7" s="3" t="s">
        <v>191</v>
      </c>
      <c r="E7" s="3" t="s">
        <v>192</v>
      </c>
      <c r="F7" s="2"/>
      <c r="G7" s="3" t="s">
        <v>171</v>
      </c>
      <c r="H7" s="3" t="s">
        <v>194</v>
      </c>
      <c r="I7" s="3" t="s">
        <v>195</v>
      </c>
      <c r="J7" s="3" t="s">
        <v>196</v>
      </c>
      <c r="K7" s="3" t="s">
        <v>197</v>
      </c>
      <c r="L7" s="3" t="s">
        <v>198</v>
      </c>
    </row>
    <row r="8" spans="1:12" s="1" customFormat="1" x14ac:dyDescent="0.2">
      <c r="A8" s="3" t="s">
        <v>199</v>
      </c>
      <c r="B8" s="3" t="s">
        <v>200</v>
      </c>
      <c r="C8" s="3" t="s">
        <v>201</v>
      </c>
      <c r="D8" s="2"/>
      <c r="E8" s="3" t="s">
        <v>202</v>
      </c>
      <c r="F8" s="2"/>
      <c r="G8" s="3" t="s">
        <v>182</v>
      </c>
      <c r="H8" s="3" t="s">
        <v>204</v>
      </c>
      <c r="I8" s="3" t="s">
        <v>205</v>
      </c>
      <c r="J8" s="3" t="s">
        <v>206</v>
      </c>
      <c r="K8" s="3" t="s">
        <v>207</v>
      </c>
      <c r="L8" s="3" t="s">
        <v>208</v>
      </c>
    </row>
    <row r="9" spans="1:12" s="1" customFormat="1" x14ac:dyDescent="0.2">
      <c r="A9" s="3"/>
      <c r="B9" s="3" t="s">
        <v>209</v>
      </c>
      <c r="C9" s="3" t="s">
        <v>210</v>
      </c>
      <c r="D9" s="2"/>
      <c r="E9" s="3" t="s">
        <v>211</v>
      </c>
      <c r="F9" s="2"/>
      <c r="G9" s="3" t="s">
        <v>193</v>
      </c>
      <c r="H9" s="3" t="s">
        <v>213</v>
      </c>
      <c r="I9" s="3" t="s">
        <v>214</v>
      </c>
      <c r="J9" s="3" t="s">
        <v>215</v>
      </c>
      <c r="K9" s="3" t="s">
        <v>216</v>
      </c>
      <c r="L9" s="3" t="s">
        <v>217</v>
      </c>
    </row>
    <row r="10" spans="1:12" s="1" customFormat="1" x14ac:dyDescent="0.2">
      <c r="A10" s="3"/>
      <c r="B10" s="3" t="s">
        <v>218</v>
      </c>
      <c r="C10" s="3" t="s">
        <v>219</v>
      </c>
      <c r="D10" s="2"/>
      <c r="E10" s="2"/>
      <c r="F10" s="2"/>
      <c r="G10" s="3" t="s">
        <v>567</v>
      </c>
      <c r="H10" s="3" t="s">
        <v>221</v>
      </c>
      <c r="I10" s="3" t="s">
        <v>222</v>
      </c>
      <c r="J10" s="3" t="s">
        <v>223</v>
      </c>
      <c r="K10" s="3" t="s">
        <v>224</v>
      </c>
      <c r="L10" s="3" t="s">
        <v>225</v>
      </c>
    </row>
    <row r="11" spans="1:12" s="1" customFormat="1" x14ac:dyDescent="0.2">
      <c r="A11" s="3"/>
      <c r="B11" s="3" t="s">
        <v>226</v>
      </c>
      <c r="C11" s="3" t="s">
        <v>227</v>
      </c>
      <c r="D11" s="2"/>
      <c r="E11" s="2"/>
      <c r="F11" s="2"/>
      <c r="G11" s="3" t="s">
        <v>203</v>
      </c>
      <c r="H11" s="3" t="s">
        <v>229</v>
      </c>
      <c r="I11" s="3" t="s">
        <v>230</v>
      </c>
      <c r="J11" s="3" t="s">
        <v>231</v>
      </c>
      <c r="K11" s="3" t="s">
        <v>232</v>
      </c>
      <c r="L11" s="3" t="s">
        <v>233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212</v>
      </c>
      <c r="H12" s="3" t="s">
        <v>235</v>
      </c>
      <c r="I12" s="3" t="s">
        <v>236</v>
      </c>
      <c r="J12" s="3" t="s">
        <v>237</v>
      </c>
      <c r="K12" s="3" t="s">
        <v>534</v>
      </c>
      <c r="L12" s="3" t="s">
        <v>239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220</v>
      </c>
      <c r="H13" s="3"/>
      <c r="I13" s="3" t="s">
        <v>241</v>
      </c>
      <c r="J13" s="3" t="s">
        <v>242</v>
      </c>
      <c r="K13" s="3" t="s">
        <v>238</v>
      </c>
      <c r="L13" s="3" t="s">
        <v>244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228</v>
      </c>
      <c r="H14" s="3"/>
      <c r="I14" s="3" t="s">
        <v>246</v>
      </c>
      <c r="J14" s="3" t="s">
        <v>247</v>
      </c>
      <c r="K14" s="3" t="s">
        <v>243</v>
      </c>
      <c r="L14" s="3" t="s">
        <v>249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234</v>
      </c>
      <c r="H15" s="3"/>
      <c r="I15" s="3" t="s">
        <v>251</v>
      </c>
      <c r="J15" s="3" t="s">
        <v>252</v>
      </c>
      <c r="K15" s="3" t="s">
        <v>248</v>
      </c>
      <c r="L15" s="3" t="s">
        <v>254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240</v>
      </c>
      <c r="H16" s="3"/>
      <c r="I16" s="3" t="s">
        <v>256</v>
      </c>
      <c r="J16" s="3" t="s">
        <v>257</v>
      </c>
      <c r="K16" s="3" t="s">
        <v>253</v>
      </c>
      <c r="L16" s="3" t="s">
        <v>259</v>
      </c>
    </row>
    <row r="17" spans="1:12" s="1" customFormat="1" x14ac:dyDescent="0.2">
      <c r="A17" s="3" t="s">
        <v>260</v>
      </c>
      <c r="B17" s="3">
        <v>7</v>
      </c>
      <c r="C17" s="2"/>
      <c r="D17" s="2"/>
      <c r="E17" s="2"/>
      <c r="F17" s="2"/>
      <c r="G17" s="3" t="s">
        <v>245</v>
      </c>
      <c r="H17" s="3"/>
      <c r="I17" s="3" t="s">
        <v>262</v>
      </c>
      <c r="J17" s="3" t="s">
        <v>263</v>
      </c>
      <c r="K17" s="3" t="s">
        <v>258</v>
      </c>
      <c r="L17" s="3" t="s">
        <v>265</v>
      </c>
    </row>
    <row r="18" spans="1:12" s="1" customFormat="1" x14ac:dyDescent="0.2">
      <c r="A18" s="3" t="s">
        <v>120</v>
      </c>
      <c r="B18" s="3">
        <v>10</v>
      </c>
      <c r="C18" s="2"/>
      <c r="D18" s="2"/>
      <c r="E18" s="2"/>
      <c r="F18" s="2"/>
      <c r="G18" s="3" t="s">
        <v>250</v>
      </c>
      <c r="H18" s="3"/>
      <c r="I18" s="3" t="s">
        <v>267</v>
      </c>
      <c r="J18" s="3" t="s">
        <v>268</v>
      </c>
      <c r="K18" s="3" t="s">
        <v>264</v>
      </c>
      <c r="L18" s="3" t="s">
        <v>270</v>
      </c>
    </row>
    <row r="19" spans="1:12" s="1" customFormat="1" x14ac:dyDescent="0.2">
      <c r="A19" s="3" t="s">
        <v>121</v>
      </c>
      <c r="B19" s="3">
        <v>10</v>
      </c>
      <c r="C19" s="2"/>
      <c r="D19" s="2"/>
      <c r="E19" s="2"/>
      <c r="F19" s="2"/>
      <c r="G19" s="3" t="s">
        <v>255</v>
      </c>
      <c r="H19" s="3"/>
      <c r="I19" s="3" t="s">
        <v>272</v>
      </c>
      <c r="J19" s="3" t="s">
        <v>273</v>
      </c>
      <c r="K19" s="3" t="s">
        <v>269</v>
      </c>
      <c r="L19" s="3" t="s">
        <v>275</v>
      </c>
    </row>
    <row r="20" spans="1:12" s="1" customFormat="1" x14ac:dyDescent="0.2">
      <c r="A20" s="3" t="s">
        <v>122</v>
      </c>
      <c r="B20" s="3">
        <v>6</v>
      </c>
      <c r="C20" s="2"/>
      <c r="D20" s="2"/>
      <c r="E20" s="2"/>
      <c r="F20" s="2"/>
      <c r="G20" s="3" t="s">
        <v>261</v>
      </c>
      <c r="H20" s="3"/>
      <c r="I20" s="3" t="s">
        <v>277</v>
      </c>
      <c r="J20" s="3" t="s">
        <v>278</v>
      </c>
      <c r="K20" s="3" t="s">
        <v>274</v>
      </c>
      <c r="L20" s="3" t="s">
        <v>280</v>
      </c>
    </row>
    <row r="21" spans="1:12" s="1" customFormat="1" x14ac:dyDescent="0.2">
      <c r="A21" s="3" t="s">
        <v>123</v>
      </c>
      <c r="B21" s="3">
        <v>8</v>
      </c>
      <c r="C21" s="2"/>
      <c r="D21" s="2"/>
      <c r="E21" s="2"/>
      <c r="F21" s="2"/>
      <c r="G21" s="3" t="s">
        <v>266</v>
      </c>
      <c r="H21" s="3"/>
      <c r="I21" s="3" t="s">
        <v>282</v>
      </c>
      <c r="J21" s="3" t="s">
        <v>283</v>
      </c>
      <c r="K21" s="3" t="s">
        <v>279</v>
      </c>
      <c r="L21" s="3" t="s">
        <v>285</v>
      </c>
    </row>
    <row r="22" spans="1:12" s="1" customFormat="1" x14ac:dyDescent="0.2">
      <c r="A22" s="3" t="s">
        <v>124</v>
      </c>
      <c r="B22" s="3">
        <v>2</v>
      </c>
      <c r="C22" s="2"/>
      <c r="D22" s="2"/>
      <c r="E22" s="2"/>
      <c r="F22" s="2"/>
      <c r="G22" s="3" t="s">
        <v>565</v>
      </c>
      <c r="H22" s="3"/>
      <c r="I22" s="3" t="s">
        <v>287</v>
      </c>
      <c r="J22" s="3" t="s">
        <v>288</v>
      </c>
      <c r="K22" s="3" t="s">
        <v>284</v>
      </c>
      <c r="L22" s="3" t="s">
        <v>289</v>
      </c>
    </row>
    <row r="23" spans="1:12" s="1" customFormat="1" x14ac:dyDescent="0.2">
      <c r="A23" s="3" t="s">
        <v>125</v>
      </c>
      <c r="B23" s="3">
        <v>149</v>
      </c>
      <c r="C23" s="2"/>
      <c r="D23" s="2"/>
      <c r="E23" s="2"/>
      <c r="F23" s="2"/>
      <c r="G23" s="3" t="s">
        <v>271</v>
      </c>
      <c r="H23" s="3"/>
      <c r="I23" s="3" t="s">
        <v>291</v>
      </c>
      <c r="J23" s="3" t="s">
        <v>292</v>
      </c>
      <c r="K23" s="3"/>
      <c r="L23" s="3" t="s">
        <v>293</v>
      </c>
    </row>
    <row r="24" spans="1:12" s="1" customFormat="1" x14ac:dyDescent="0.2">
      <c r="A24" s="3" t="s">
        <v>294</v>
      </c>
      <c r="B24" s="3">
        <v>11</v>
      </c>
      <c r="C24" s="2"/>
      <c r="D24" s="2"/>
      <c r="E24" s="2"/>
      <c r="F24" s="2"/>
      <c r="G24" s="3" t="s">
        <v>276</v>
      </c>
      <c r="H24" s="3"/>
      <c r="I24" s="3" t="s">
        <v>296</v>
      </c>
      <c r="J24" s="3" t="s">
        <v>297</v>
      </c>
      <c r="K24" s="3"/>
      <c r="L24" s="3"/>
    </row>
    <row r="25" spans="1:12" s="1" customFormat="1" x14ac:dyDescent="0.2">
      <c r="A25" s="3" t="s">
        <v>127</v>
      </c>
      <c r="B25" s="3">
        <v>97</v>
      </c>
      <c r="C25" s="2"/>
      <c r="D25" s="2"/>
      <c r="E25" s="2"/>
      <c r="F25" s="2"/>
      <c r="G25" s="3" t="s">
        <v>558</v>
      </c>
      <c r="H25" s="3"/>
      <c r="I25" s="3" t="s">
        <v>299</v>
      </c>
      <c r="J25" s="3" t="s">
        <v>300</v>
      </c>
      <c r="K25" s="3"/>
      <c r="L25" s="3"/>
    </row>
    <row r="26" spans="1:12" s="1" customFormat="1" x14ac:dyDescent="0.2">
      <c r="A26" s="3" t="s">
        <v>128</v>
      </c>
      <c r="B26" s="3">
        <v>32</v>
      </c>
      <c r="C26" s="2"/>
      <c r="D26" s="2"/>
      <c r="E26" s="2"/>
      <c r="F26" s="2"/>
      <c r="G26" s="3" t="s">
        <v>281</v>
      </c>
      <c r="H26" s="3"/>
      <c r="I26" s="3" t="s">
        <v>302</v>
      </c>
      <c r="J26" s="3" t="s">
        <v>303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286</v>
      </c>
      <c r="H27" s="3"/>
      <c r="I27" s="3" t="s">
        <v>305</v>
      </c>
      <c r="J27" s="3" t="s">
        <v>306</v>
      </c>
      <c r="K27" s="3"/>
      <c r="L27" s="3"/>
    </row>
    <row r="28" spans="1:12" s="1" customFormat="1" x14ac:dyDescent="0.2">
      <c r="A28" s="3" t="s">
        <v>130</v>
      </c>
      <c r="B28" s="3">
        <v>22</v>
      </c>
      <c r="C28" s="2"/>
      <c r="D28" s="2"/>
      <c r="E28" s="2"/>
      <c r="F28" s="2"/>
      <c r="G28" s="3" t="s">
        <v>290</v>
      </c>
      <c r="H28" s="3"/>
      <c r="I28" s="3" t="s">
        <v>308</v>
      </c>
      <c r="J28" s="3" t="s">
        <v>309</v>
      </c>
      <c r="K28" s="3"/>
      <c r="L28" s="3"/>
    </row>
    <row r="29" spans="1:12" s="1" customFormat="1" x14ac:dyDescent="0.2">
      <c r="A29" s="3" t="s">
        <v>310</v>
      </c>
      <c r="B29" s="3">
        <f>SUM(B17:B28)</f>
        <v>374</v>
      </c>
      <c r="C29" s="2"/>
      <c r="D29" s="2"/>
      <c r="E29" s="2"/>
      <c r="F29" s="2"/>
      <c r="G29" s="3" t="s">
        <v>295</v>
      </c>
      <c r="H29" s="3"/>
      <c r="I29" s="3" t="s">
        <v>312</v>
      </c>
      <c r="J29" s="3" t="s">
        <v>313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298</v>
      </c>
      <c r="H30" s="3"/>
      <c r="I30" s="3" t="s">
        <v>315</v>
      </c>
      <c r="J30" s="3" t="s">
        <v>316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560</v>
      </c>
      <c r="H31" s="3"/>
      <c r="I31" s="3" t="s">
        <v>318</v>
      </c>
      <c r="J31" s="3" t="s">
        <v>319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546</v>
      </c>
      <c r="H32" s="3"/>
      <c r="I32" s="3" t="s">
        <v>321</v>
      </c>
      <c r="J32" s="3" t="s">
        <v>322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572</v>
      </c>
      <c r="H33" s="3"/>
      <c r="I33" s="3" t="s">
        <v>324</v>
      </c>
      <c r="J33" s="3" t="s">
        <v>325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301</v>
      </c>
      <c r="H34" s="3"/>
      <c r="I34" s="3" t="s">
        <v>327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304</v>
      </c>
      <c r="H35" s="3"/>
      <c r="I35" s="3" t="s">
        <v>329</v>
      </c>
      <c r="J35" s="3"/>
      <c r="K35" s="2"/>
      <c r="L35" s="2"/>
    </row>
    <row r="36" spans="1:12" x14ac:dyDescent="0.2">
      <c r="G36" s="3" t="s">
        <v>307</v>
      </c>
      <c r="H36" s="3"/>
      <c r="I36" s="3" t="s">
        <v>331</v>
      </c>
    </row>
    <row r="37" spans="1:12" x14ac:dyDescent="0.2">
      <c r="G37" s="3" t="s">
        <v>311</v>
      </c>
      <c r="I37" s="3" t="s">
        <v>333</v>
      </c>
    </row>
    <row r="38" spans="1:12" x14ac:dyDescent="0.2">
      <c r="G38" s="3" t="s">
        <v>573</v>
      </c>
      <c r="I38" s="3" t="s">
        <v>335</v>
      </c>
    </row>
    <row r="39" spans="1:12" x14ac:dyDescent="0.2">
      <c r="G39" s="3" t="s">
        <v>549</v>
      </c>
      <c r="I39" s="3" t="s">
        <v>337</v>
      </c>
    </row>
    <row r="40" spans="1:12" x14ac:dyDescent="0.2">
      <c r="G40" s="3" t="s">
        <v>314</v>
      </c>
      <c r="I40" s="3" t="s">
        <v>339</v>
      </c>
    </row>
    <row r="41" spans="1:12" x14ac:dyDescent="0.2">
      <c r="G41" s="3" t="s">
        <v>317</v>
      </c>
      <c r="I41" s="3" t="s">
        <v>341</v>
      </c>
    </row>
    <row r="42" spans="1:12" x14ac:dyDescent="0.2">
      <c r="G42" s="3" t="s">
        <v>556</v>
      </c>
      <c r="I42" s="3" t="s">
        <v>343</v>
      </c>
    </row>
    <row r="43" spans="1:12" x14ac:dyDescent="0.2">
      <c r="G43" s="3" t="s">
        <v>320</v>
      </c>
      <c r="I43" s="3" t="s">
        <v>345</v>
      </c>
    </row>
    <row r="44" spans="1:12" x14ac:dyDescent="0.2">
      <c r="G44" s="3" t="s">
        <v>323</v>
      </c>
      <c r="I44" s="3" t="s">
        <v>347</v>
      </c>
    </row>
    <row r="45" spans="1:12" x14ac:dyDescent="0.2">
      <c r="G45" s="3" t="s">
        <v>554</v>
      </c>
      <c r="I45" s="3" t="s">
        <v>349</v>
      </c>
    </row>
    <row r="46" spans="1:12" x14ac:dyDescent="0.2">
      <c r="G46" s="3" t="s">
        <v>326</v>
      </c>
      <c r="I46" s="3" t="s">
        <v>351</v>
      </c>
    </row>
    <row r="47" spans="1:12" x14ac:dyDescent="0.2">
      <c r="G47" s="3" t="s">
        <v>328</v>
      </c>
      <c r="I47" s="3" t="s">
        <v>353</v>
      </c>
    </row>
    <row r="48" spans="1:12" x14ac:dyDescent="0.2">
      <c r="G48" s="3" t="s">
        <v>330</v>
      </c>
      <c r="I48" s="3" t="s">
        <v>355</v>
      </c>
    </row>
    <row r="49" spans="7:9" x14ac:dyDescent="0.2">
      <c r="G49" s="3" t="s">
        <v>557</v>
      </c>
      <c r="I49" s="3" t="s">
        <v>357</v>
      </c>
    </row>
    <row r="50" spans="7:9" x14ac:dyDescent="0.2">
      <c r="G50" s="3" t="s">
        <v>332</v>
      </c>
      <c r="I50" s="3" t="s">
        <v>359</v>
      </c>
    </row>
    <row r="51" spans="7:9" x14ac:dyDescent="0.2">
      <c r="G51" s="3" t="s">
        <v>334</v>
      </c>
      <c r="I51" s="3" t="s">
        <v>361</v>
      </c>
    </row>
    <row r="52" spans="7:9" x14ac:dyDescent="0.2">
      <c r="G52" s="3" t="s">
        <v>336</v>
      </c>
      <c r="I52" s="3" t="s">
        <v>363</v>
      </c>
    </row>
    <row r="53" spans="7:9" x14ac:dyDescent="0.2">
      <c r="G53" s="3" t="s">
        <v>338</v>
      </c>
      <c r="I53" s="3" t="s">
        <v>365</v>
      </c>
    </row>
    <row r="54" spans="7:9" x14ac:dyDescent="0.2">
      <c r="G54" s="3" t="s">
        <v>340</v>
      </c>
      <c r="I54" s="3" t="s">
        <v>367</v>
      </c>
    </row>
    <row r="55" spans="7:9" x14ac:dyDescent="0.2">
      <c r="G55" s="3" t="s">
        <v>342</v>
      </c>
      <c r="I55" s="3" t="s">
        <v>369</v>
      </c>
    </row>
    <row r="56" spans="7:9" x14ac:dyDescent="0.2">
      <c r="G56" s="3" t="s">
        <v>344</v>
      </c>
      <c r="I56" s="3" t="s">
        <v>371</v>
      </c>
    </row>
    <row r="57" spans="7:9" x14ac:dyDescent="0.2">
      <c r="G57" s="3" t="s">
        <v>346</v>
      </c>
      <c r="I57" s="3" t="s">
        <v>373</v>
      </c>
    </row>
    <row r="58" spans="7:9" x14ac:dyDescent="0.2">
      <c r="G58" s="3" t="s">
        <v>348</v>
      </c>
      <c r="I58" s="3" t="s">
        <v>375</v>
      </c>
    </row>
    <row r="59" spans="7:9" x14ac:dyDescent="0.2">
      <c r="G59" s="3" t="s">
        <v>350</v>
      </c>
      <c r="I59" s="3" t="s">
        <v>377</v>
      </c>
    </row>
    <row r="60" spans="7:9" x14ac:dyDescent="0.2">
      <c r="G60" s="3" t="s">
        <v>352</v>
      </c>
      <c r="I60" s="3" t="s">
        <v>379</v>
      </c>
    </row>
    <row r="61" spans="7:9" x14ac:dyDescent="0.2">
      <c r="G61" s="3" t="s">
        <v>570</v>
      </c>
      <c r="I61" s="3" t="s">
        <v>381</v>
      </c>
    </row>
    <row r="62" spans="7:9" x14ac:dyDescent="0.2">
      <c r="G62" s="3" t="s">
        <v>354</v>
      </c>
      <c r="I62" s="3" t="s">
        <v>383</v>
      </c>
    </row>
    <row r="63" spans="7:9" x14ac:dyDescent="0.2">
      <c r="G63" s="3" t="s">
        <v>356</v>
      </c>
      <c r="I63" s="3" t="s">
        <v>385</v>
      </c>
    </row>
    <row r="64" spans="7:9" x14ac:dyDescent="0.2">
      <c r="G64" s="3" t="s">
        <v>358</v>
      </c>
      <c r="I64" s="3" t="s">
        <v>387</v>
      </c>
    </row>
    <row r="65" spans="7:9" x14ac:dyDescent="0.2">
      <c r="G65" s="3" t="s">
        <v>360</v>
      </c>
      <c r="I65" s="3" t="s">
        <v>389</v>
      </c>
    </row>
    <row r="66" spans="7:9" x14ac:dyDescent="0.2">
      <c r="G66" s="3" t="s">
        <v>362</v>
      </c>
      <c r="I66" s="3" t="s">
        <v>391</v>
      </c>
    </row>
    <row r="67" spans="7:9" x14ac:dyDescent="0.2">
      <c r="G67" s="3" t="s">
        <v>364</v>
      </c>
      <c r="I67" s="3" t="s">
        <v>393</v>
      </c>
    </row>
    <row r="68" spans="7:9" x14ac:dyDescent="0.2">
      <c r="G68" s="3" t="s">
        <v>366</v>
      </c>
      <c r="I68" s="3" t="s">
        <v>395</v>
      </c>
    </row>
    <row r="69" spans="7:9" x14ac:dyDescent="0.2">
      <c r="G69" s="3" t="s">
        <v>368</v>
      </c>
      <c r="I69" s="3" t="s">
        <v>397</v>
      </c>
    </row>
    <row r="70" spans="7:9" x14ac:dyDescent="0.2">
      <c r="G70" s="3" t="s">
        <v>370</v>
      </c>
      <c r="I70" s="3" t="s">
        <v>399</v>
      </c>
    </row>
    <row r="71" spans="7:9" x14ac:dyDescent="0.2">
      <c r="G71" s="3" t="s">
        <v>372</v>
      </c>
      <c r="I71" s="3" t="s">
        <v>401</v>
      </c>
    </row>
    <row r="72" spans="7:9" x14ac:dyDescent="0.2">
      <c r="G72" s="3" t="s">
        <v>374</v>
      </c>
      <c r="I72" s="3" t="s">
        <v>403</v>
      </c>
    </row>
    <row r="73" spans="7:9" x14ac:dyDescent="0.2">
      <c r="G73" s="3" t="s">
        <v>376</v>
      </c>
      <c r="I73" s="3" t="s">
        <v>405</v>
      </c>
    </row>
    <row r="74" spans="7:9" x14ac:dyDescent="0.2">
      <c r="G74" s="3" t="s">
        <v>378</v>
      </c>
      <c r="I74" s="3" t="s">
        <v>407</v>
      </c>
    </row>
    <row r="75" spans="7:9" x14ac:dyDescent="0.2">
      <c r="G75" s="3" t="s">
        <v>562</v>
      </c>
      <c r="I75" s="3" t="s">
        <v>409</v>
      </c>
    </row>
    <row r="76" spans="7:9" x14ac:dyDescent="0.2">
      <c r="G76" s="3" t="s">
        <v>380</v>
      </c>
      <c r="I76" s="3" t="s">
        <v>411</v>
      </c>
    </row>
    <row r="77" spans="7:9" x14ac:dyDescent="0.2">
      <c r="G77" s="3" t="s">
        <v>382</v>
      </c>
      <c r="I77" s="3" t="s">
        <v>413</v>
      </c>
    </row>
    <row r="78" spans="7:9" x14ac:dyDescent="0.2">
      <c r="G78" s="3" t="s">
        <v>384</v>
      </c>
      <c r="I78" s="3" t="s">
        <v>415</v>
      </c>
    </row>
    <row r="79" spans="7:9" x14ac:dyDescent="0.2">
      <c r="G79" s="3" t="s">
        <v>386</v>
      </c>
      <c r="I79" s="3" t="s">
        <v>417</v>
      </c>
    </row>
    <row r="80" spans="7:9" x14ac:dyDescent="0.2">
      <c r="G80" s="3" t="s">
        <v>388</v>
      </c>
      <c r="I80" s="3" t="s">
        <v>419</v>
      </c>
    </row>
    <row r="81" spans="7:9" x14ac:dyDescent="0.2">
      <c r="G81" s="3" t="s">
        <v>390</v>
      </c>
      <c r="I81" s="3" t="s">
        <v>421</v>
      </c>
    </row>
    <row r="82" spans="7:9" x14ac:dyDescent="0.2">
      <c r="G82" s="3" t="s">
        <v>392</v>
      </c>
      <c r="I82" s="3" t="s">
        <v>423</v>
      </c>
    </row>
    <row r="83" spans="7:9" x14ac:dyDescent="0.2">
      <c r="G83" s="3" t="s">
        <v>394</v>
      </c>
      <c r="I83" s="3" t="s">
        <v>425</v>
      </c>
    </row>
    <row r="84" spans="7:9" x14ac:dyDescent="0.2">
      <c r="G84" s="3" t="s">
        <v>396</v>
      </c>
      <c r="I84" s="3" t="s">
        <v>427</v>
      </c>
    </row>
    <row r="85" spans="7:9" x14ac:dyDescent="0.2">
      <c r="G85" s="3" t="s">
        <v>398</v>
      </c>
      <c r="I85" s="3" t="s">
        <v>429</v>
      </c>
    </row>
    <row r="86" spans="7:9" x14ac:dyDescent="0.2">
      <c r="G86" s="3" t="s">
        <v>400</v>
      </c>
      <c r="I86" s="3" t="s">
        <v>431</v>
      </c>
    </row>
    <row r="87" spans="7:9" x14ac:dyDescent="0.2">
      <c r="G87" s="3" t="s">
        <v>402</v>
      </c>
      <c r="I87" s="3" t="s">
        <v>433</v>
      </c>
    </row>
    <row r="88" spans="7:9" x14ac:dyDescent="0.2">
      <c r="G88" s="3" t="s">
        <v>404</v>
      </c>
      <c r="I88" s="3" t="s">
        <v>435</v>
      </c>
    </row>
    <row r="89" spans="7:9" x14ac:dyDescent="0.2">
      <c r="G89" s="3" t="s">
        <v>406</v>
      </c>
      <c r="I89" s="3" t="s">
        <v>437</v>
      </c>
    </row>
    <row r="90" spans="7:9" x14ac:dyDescent="0.2">
      <c r="G90" s="3" t="s">
        <v>408</v>
      </c>
      <c r="I90" s="3" t="s">
        <v>439</v>
      </c>
    </row>
    <row r="91" spans="7:9" x14ac:dyDescent="0.2">
      <c r="G91" s="3" t="s">
        <v>410</v>
      </c>
      <c r="I91" s="3" t="s">
        <v>441</v>
      </c>
    </row>
    <row r="92" spans="7:9" x14ac:dyDescent="0.2">
      <c r="G92" s="3" t="s">
        <v>412</v>
      </c>
      <c r="I92" s="3" t="s">
        <v>443</v>
      </c>
    </row>
    <row r="93" spans="7:9" x14ac:dyDescent="0.2">
      <c r="G93" s="3" t="s">
        <v>414</v>
      </c>
      <c r="I93" s="3" t="s">
        <v>445</v>
      </c>
    </row>
    <row r="94" spans="7:9" x14ac:dyDescent="0.2">
      <c r="G94" s="3" t="s">
        <v>416</v>
      </c>
      <c r="I94" s="3" t="s">
        <v>447</v>
      </c>
    </row>
    <row r="95" spans="7:9" x14ac:dyDescent="0.2">
      <c r="G95" s="3" t="s">
        <v>418</v>
      </c>
      <c r="I95" s="3" t="s">
        <v>449</v>
      </c>
    </row>
    <row r="96" spans="7:9" x14ac:dyDescent="0.2">
      <c r="G96" s="3" t="s">
        <v>420</v>
      </c>
      <c r="I96" s="3" t="s">
        <v>451</v>
      </c>
    </row>
    <row r="97" spans="7:9" x14ac:dyDescent="0.2">
      <c r="G97" s="3" t="s">
        <v>422</v>
      </c>
      <c r="I97" s="3" t="s">
        <v>453</v>
      </c>
    </row>
    <row r="98" spans="7:9" x14ac:dyDescent="0.2">
      <c r="G98" s="3" t="s">
        <v>555</v>
      </c>
      <c r="I98" s="3" t="s">
        <v>455</v>
      </c>
    </row>
    <row r="99" spans="7:9" x14ac:dyDescent="0.2">
      <c r="G99" s="3" t="s">
        <v>548</v>
      </c>
    </row>
    <row r="100" spans="7:9" x14ac:dyDescent="0.2">
      <c r="G100" s="3" t="s">
        <v>574</v>
      </c>
    </row>
    <row r="101" spans="7:9" x14ac:dyDescent="0.2">
      <c r="G101" s="3" t="s">
        <v>424</v>
      </c>
    </row>
    <row r="102" spans="7:9" x14ac:dyDescent="0.2">
      <c r="G102" s="3" t="s">
        <v>426</v>
      </c>
    </row>
    <row r="103" spans="7:9" x14ac:dyDescent="0.2">
      <c r="G103" s="3" t="s">
        <v>428</v>
      </c>
    </row>
    <row r="104" spans="7:9" x14ac:dyDescent="0.2">
      <c r="G104" s="3" t="s">
        <v>430</v>
      </c>
    </row>
    <row r="105" spans="7:9" x14ac:dyDescent="0.2">
      <c r="G105" s="3" t="s">
        <v>432</v>
      </c>
    </row>
    <row r="106" spans="7:9" x14ac:dyDescent="0.2">
      <c r="G106" s="3" t="s">
        <v>434</v>
      </c>
    </row>
    <row r="107" spans="7:9" x14ac:dyDescent="0.2">
      <c r="G107" s="3" t="s">
        <v>436</v>
      </c>
    </row>
    <row r="108" spans="7:9" x14ac:dyDescent="0.2">
      <c r="G108" s="3" t="s">
        <v>552</v>
      </c>
    </row>
    <row r="109" spans="7:9" x14ac:dyDescent="0.2">
      <c r="G109" s="3" t="s">
        <v>438</v>
      </c>
    </row>
    <row r="110" spans="7:9" x14ac:dyDescent="0.2">
      <c r="G110" s="3" t="s">
        <v>440</v>
      </c>
    </row>
    <row r="111" spans="7:9" x14ac:dyDescent="0.2">
      <c r="G111" s="3" t="s">
        <v>442</v>
      </c>
    </row>
    <row r="112" spans="7:9" x14ac:dyDescent="0.2">
      <c r="G112" s="3" t="s">
        <v>444</v>
      </c>
    </row>
    <row r="113" spans="7:7" x14ac:dyDescent="0.2">
      <c r="G113" s="3" t="s">
        <v>446</v>
      </c>
    </row>
    <row r="114" spans="7:7" x14ac:dyDescent="0.2">
      <c r="G114" s="3" t="s">
        <v>448</v>
      </c>
    </row>
    <row r="115" spans="7:7" x14ac:dyDescent="0.2">
      <c r="G115" s="3" t="s">
        <v>450</v>
      </c>
    </row>
    <row r="116" spans="7:7" x14ac:dyDescent="0.2">
      <c r="G116" s="3" t="s">
        <v>547</v>
      </c>
    </row>
    <row r="117" spans="7:7" x14ac:dyDescent="0.2">
      <c r="G117" s="3" t="s">
        <v>452</v>
      </c>
    </row>
    <row r="118" spans="7:7" x14ac:dyDescent="0.2">
      <c r="G118" s="3" t="s">
        <v>454</v>
      </c>
    </row>
    <row r="119" spans="7:7" x14ac:dyDescent="0.2">
      <c r="G119" s="3" t="s">
        <v>456</v>
      </c>
    </row>
    <row r="120" spans="7:7" x14ac:dyDescent="0.2">
      <c r="G120" s="3" t="s">
        <v>457</v>
      </c>
    </row>
    <row r="121" spans="7:7" x14ac:dyDescent="0.2">
      <c r="G121" s="3" t="s">
        <v>458</v>
      </c>
    </row>
    <row r="122" spans="7:7" x14ac:dyDescent="0.2">
      <c r="G122" s="3" t="s">
        <v>459</v>
      </c>
    </row>
    <row r="123" spans="7:7" x14ac:dyDescent="0.2">
      <c r="G123" s="3" t="s">
        <v>460</v>
      </c>
    </row>
    <row r="124" spans="7:7" x14ac:dyDescent="0.2">
      <c r="G124" s="3" t="s">
        <v>559</v>
      </c>
    </row>
    <row r="125" spans="7:7" x14ac:dyDescent="0.2">
      <c r="G125" s="3" t="s">
        <v>461</v>
      </c>
    </row>
    <row r="126" spans="7:7" x14ac:dyDescent="0.2">
      <c r="G126" s="3" t="s">
        <v>462</v>
      </c>
    </row>
    <row r="127" spans="7:7" x14ac:dyDescent="0.2">
      <c r="G127" s="3" t="s">
        <v>463</v>
      </c>
    </row>
    <row r="128" spans="7:7" x14ac:dyDescent="0.2">
      <c r="G128" s="3" t="s">
        <v>464</v>
      </c>
    </row>
    <row r="129" spans="7:7" x14ac:dyDescent="0.2">
      <c r="G129" s="3" t="s">
        <v>465</v>
      </c>
    </row>
    <row r="130" spans="7:7" x14ac:dyDescent="0.2">
      <c r="G130" s="3" t="s">
        <v>466</v>
      </c>
    </row>
    <row r="131" spans="7:7" x14ac:dyDescent="0.2">
      <c r="G131" s="3" t="s">
        <v>467</v>
      </c>
    </row>
    <row r="132" spans="7:7" x14ac:dyDescent="0.2">
      <c r="G132" s="3" t="s">
        <v>468</v>
      </c>
    </row>
    <row r="133" spans="7:7" x14ac:dyDescent="0.2">
      <c r="G133" s="3" t="s">
        <v>469</v>
      </c>
    </row>
    <row r="134" spans="7:7" x14ac:dyDescent="0.2">
      <c r="G134" s="3" t="s">
        <v>470</v>
      </c>
    </row>
    <row r="135" spans="7:7" x14ac:dyDescent="0.2">
      <c r="G135" s="3" t="s">
        <v>471</v>
      </c>
    </row>
    <row r="136" spans="7:7" x14ac:dyDescent="0.2">
      <c r="G136" s="3" t="s">
        <v>578</v>
      </c>
    </row>
    <row r="137" spans="7:7" x14ac:dyDescent="0.2">
      <c r="G137" s="3" t="s">
        <v>472</v>
      </c>
    </row>
    <row r="138" spans="7:7" x14ac:dyDescent="0.2">
      <c r="G138" s="3" t="s">
        <v>473</v>
      </c>
    </row>
    <row r="139" spans="7:7" x14ac:dyDescent="0.2">
      <c r="G139" s="3" t="s">
        <v>474</v>
      </c>
    </row>
    <row r="140" spans="7:7" x14ac:dyDescent="0.2">
      <c r="G140" s="3" t="s">
        <v>475</v>
      </c>
    </row>
    <row r="141" spans="7:7" x14ac:dyDescent="0.2">
      <c r="G141" s="3" t="s">
        <v>544</v>
      </c>
    </row>
    <row r="142" spans="7:7" x14ac:dyDescent="0.2">
      <c r="G142" s="3" t="s">
        <v>476</v>
      </c>
    </row>
    <row r="143" spans="7:7" x14ac:dyDescent="0.2">
      <c r="G143" s="3" t="s">
        <v>563</v>
      </c>
    </row>
    <row r="144" spans="7:7" x14ac:dyDescent="0.2">
      <c r="G144" s="3" t="s">
        <v>477</v>
      </c>
    </row>
    <row r="145" spans="7:7" x14ac:dyDescent="0.2">
      <c r="G145" s="3" t="s">
        <v>478</v>
      </c>
    </row>
    <row r="146" spans="7:7" x14ac:dyDescent="0.2">
      <c r="G146" s="3" t="s">
        <v>479</v>
      </c>
    </row>
    <row r="147" spans="7:7" x14ac:dyDescent="0.2">
      <c r="G147" s="3" t="s">
        <v>480</v>
      </c>
    </row>
    <row r="148" spans="7:7" x14ac:dyDescent="0.2">
      <c r="G148" s="3" t="s">
        <v>481</v>
      </c>
    </row>
    <row r="149" spans="7:7" x14ac:dyDescent="0.2">
      <c r="G149" s="3" t="s">
        <v>540</v>
      </c>
    </row>
    <row r="150" spans="7:7" x14ac:dyDescent="0.2">
      <c r="G150" s="3" t="s">
        <v>545</v>
      </c>
    </row>
    <row r="151" spans="7:7" x14ac:dyDescent="0.2">
      <c r="G151" s="3" t="s">
        <v>482</v>
      </c>
    </row>
    <row r="152" spans="7:7" x14ac:dyDescent="0.2">
      <c r="G152" s="3" t="s">
        <v>483</v>
      </c>
    </row>
    <row r="153" spans="7:7" x14ac:dyDescent="0.2">
      <c r="G153" s="3" t="s">
        <v>484</v>
      </c>
    </row>
    <row r="154" spans="7:7" x14ac:dyDescent="0.2">
      <c r="G154" s="3" t="s">
        <v>550</v>
      </c>
    </row>
    <row r="155" spans="7:7" x14ac:dyDescent="0.2">
      <c r="G155" s="3" t="s">
        <v>485</v>
      </c>
    </row>
    <row r="156" spans="7:7" x14ac:dyDescent="0.2">
      <c r="G156" s="3" t="s">
        <v>486</v>
      </c>
    </row>
    <row r="157" spans="7:7" x14ac:dyDescent="0.2">
      <c r="G157" s="3" t="s">
        <v>487</v>
      </c>
    </row>
    <row r="158" spans="7:7" x14ac:dyDescent="0.2">
      <c r="G158" s="3" t="s">
        <v>488</v>
      </c>
    </row>
    <row r="159" spans="7:7" x14ac:dyDescent="0.2">
      <c r="G159" s="3" t="s">
        <v>489</v>
      </c>
    </row>
    <row r="160" spans="7:7" x14ac:dyDescent="0.2">
      <c r="G160" s="3" t="s">
        <v>490</v>
      </c>
    </row>
    <row r="161" spans="7:7" x14ac:dyDescent="0.2">
      <c r="G161" s="3" t="s">
        <v>491</v>
      </c>
    </row>
    <row r="162" spans="7:7" x14ac:dyDescent="0.2">
      <c r="G162" s="3" t="s">
        <v>492</v>
      </c>
    </row>
    <row r="163" spans="7:7" x14ac:dyDescent="0.2">
      <c r="G163" s="3" t="s">
        <v>579</v>
      </c>
    </row>
    <row r="164" spans="7:7" x14ac:dyDescent="0.2">
      <c r="G164" s="3" t="s">
        <v>564</v>
      </c>
    </row>
    <row r="165" spans="7:7" x14ac:dyDescent="0.2">
      <c r="G165" s="3" t="s">
        <v>493</v>
      </c>
    </row>
    <row r="166" spans="7:7" x14ac:dyDescent="0.2">
      <c r="G166" s="3" t="s">
        <v>494</v>
      </c>
    </row>
    <row r="167" spans="7:7" x14ac:dyDescent="0.2">
      <c r="G167" s="3" t="s">
        <v>569</v>
      </c>
    </row>
    <row r="168" spans="7:7" x14ac:dyDescent="0.2">
      <c r="G168" s="3" t="s">
        <v>495</v>
      </c>
    </row>
    <row r="169" spans="7:7" x14ac:dyDescent="0.2">
      <c r="G169" s="3" t="s">
        <v>496</v>
      </c>
    </row>
    <row r="170" spans="7:7" x14ac:dyDescent="0.2">
      <c r="G170" s="3" t="s">
        <v>543</v>
      </c>
    </row>
    <row r="171" spans="7:7" x14ac:dyDescent="0.2">
      <c r="G171" s="3" t="s">
        <v>575</v>
      </c>
    </row>
    <row r="172" spans="7:7" x14ac:dyDescent="0.2">
      <c r="G172" s="3" t="s">
        <v>497</v>
      </c>
    </row>
    <row r="173" spans="7:7" x14ac:dyDescent="0.2">
      <c r="G173" s="3" t="s">
        <v>498</v>
      </c>
    </row>
    <row r="174" spans="7:7" x14ac:dyDescent="0.2">
      <c r="G174" s="3" t="s">
        <v>551</v>
      </c>
    </row>
    <row r="175" spans="7:7" x14ac:dyDescent="0.2">
      <c r="G175" s="3" t="s">
        <v>499</v>
      </c>
    </row>
    <row r="176" spans="7:7" x14ac:dyDescent="0.2">
      <c r="G176" s="3" t="s">
        <v>576</v>
      </c>
    </row>
    <row r="177" spans="7:7" x14ac:dyDescent="0.2">
      <c r="G177" s="3" t="s">
        <v>500</v>
      </c>
    </row>
    <row r="178" spans="7:7" x14ac:dyDescent="0.2">
      <c r="G178" s="3" t="s">
        <v>566</v>
      </c>
    </row>
    <row r="179" spans="7:7" x14ac:dyDescent="0.2">
      <c r="G179" s="3" t="s">
        <v>561</v>
      </c>
    </row>
    <row r="180" spans="7:7" x14ac:dyDescent="0.2">
      <c r="G180" s="3" t="s">
        <v>553</v>
      </c>
    </row>
    <row r="181" spans="7:7" x14ac:dyDescent="0.2">
      <c r="G181" s="3" t="s">
        <v>501</v>
      </c>
    </row>
    <row r="182" spans="7:7" x14ac:dyDescent="0.2">
      <c r="G182" s="3" t="s">
        <v>502</v>
      </c>
    </row>
    <row r="183" spans="7:7" x14ac:dyDescent="0.2">
      <c r="G183" s="3" t="s">
        <v>503</v>
      </c>
    </row>
    <row r="184" spans="7:7" x14ac:dyDescent="0.2">
      <c r="G184" s="3" t="s">
        <v>504</v>
      </c>
    </row>
    <row r="185" spans="7:7" x14ac:dyDescent="0.2">
      <c r="G185" s="3" t="s">
        <v>505</v>
      </c>
    </row>
    <row r="186" spans="7:7" x14ac:dyDescent="0.2">
      <c r="G186" s="3" t="s">
        <v>506</v>
      </c>
    </row>
    <row r="187" spans="7:7" x14ac:dyDescent="0.2">
      <c r="G187" s="3" t="s">
        <v>507</v>
      </c>
    </row>
    <row r="188" spans="7:7" x14ac:dyDescent="0.2">
      <c r="G188" s="3" t="s">
        <v>508</v>
      </c>
    </row>
    <row r="189" spans="7:7" x14ac:dyDescent="0.2">
      <c r="G189" s="3" t="s">
        <v>509</v>
      </c>
    </row>
    <row r="190" spans="7:7" x14ac:dyDescent="0.2">
      <c r="G190" s="3" t="s">
        <v>510</v>
      </c>
    </row>
    <row r="191" spans="7:7" x14ac:dyDescent="0.2">
      <c r="G191" s="3" t="s">
        <v>511</v>
      </c>
    </row>
    <row r="192" spans="7:7" x14ac:dyDescent="0.2">
      <c r="G192" s="3" t="s">
        <v>512</v>
      </c>
    </row>
    <row r="193" spans="7:7" x14ac:dyDescent="0.2">
      <c r="G193" s="3" t="s">
        <v>577</v>
      </c>
    </row>
    <row r="194" spans="7:7" x14ac:dyDescent="0.2">
      <c r="G194" s="3" t="s">
        <v>571</v>
      </c>
    </row>
    <row r="195" spans="7:7" x14ac:dyDescent="0.2">
      <c r="G195" s="3" t="s">
        <v>513</v>
      </c>
    </row>
    <row r="196" spans="7:7" x14ac:dyDescent="0.2">
      <c r="G196" s="3" t="s">
        <v>514</v>
      </c>
    </row>
    <row r="197" spans="7:7" x14ac:dyDescent="0.2">
      <c r="G197" s="3" t="s">
        <v>515</v>
      </c>
    </row>
    <row r="198" spans="7:7" x14ac:dyDescent="0.2">
      <c r="G198" s="3" t="s">
        <v>516</v>
      </c>
    </row>
    <row r="199" spans="7:7" x14ac:dyDescent="0.2">
      <c r="G199" s="3" t="s">
        <v>568</v>
      </c>
    </row>
    <row r="200" spans="7:7" x14ac:dyDescent="0.2">
      <c r="G200" s="3" t="s">
        <v>517</v>
      </c>
    </row>
    <row r="201" spans="7:7" x14ac:dyDescent="0.2">
      <c r="G201" s="3" t="s">
        <v>518</v>
      </c>
    </row>
    <row r="202" spans="7:7" x14ac:dyDescent="0.2">
      <c r="G202" s="3" t="s">
        <v>519</v>
      </c>
    </row>
    <row r="203" spans="7:7" x14ac:dyDescent="0.2">
      <c r="G203" s="3" t="s">
        <v>520</v>
      </c>
    </row>
    <row r="204" spans="7:7" x14ac:dyDescent="0.2">
      <c r="G204" s="3" t="s">
        <v>521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2026-10-08T22:22:20Z</dcterms:modified>
  <cp:category/>
  <cp:contentStatus/>
</cp:coreProperties>
</file>