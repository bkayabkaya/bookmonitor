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9DCBF48D-A144-ED4F-A840-BFD9CD1452F9}" xr6:coauthVersionLast="47" xr6:coauthVersionMax="47" xr10:uidLastSave="{00000000-0000-0000-0000-000000000000}"/>
  <bookViews>
    <workbookView xWindow="12900" yWindow="-32700" windowWidth="43180" windowHeight="25040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4" i="1" l="1"/>
  <c r="K73" i="7"/>
  <c r="L73" i="7" s="1"/>
  <c r="D73" i="7"/>
  <c r="M73" i="7" s="1"/>
  <c r="D72" i="7"/>
  <c r="V36" i="1"/>
  <c r="D33" i="1"/>
  <c r="G70" i="3" a="1"/>
  <c r="G70" i="3" s="1"/>
  <c r="G69" i="3" a="1"/>
  <c r="G69" i="3" s="1"/>
  <c r="G68" i="3"/>
  <c r="G66" i="3"/>
  <c r="G65" i="3"/>
  <c r="D65" i="3"/>
  <c r="C65" i="3"/>
  <c r="B65" i="3"/>
  <c r="M71" i="7"/>
  <c r="L71" i="7"/>
  <c r="K71" i="7"/>
  <c r="D71" i="7"/>
  <c r="D64" i="3"/>
  <c r="S61" i="7"/>
  <c r="R61" i="7"/>
  <c r="Q61" i="7"/>
  <c r="O61" i="7"/>
  <c r="N61" i="7"/>
  <c r="L61" i="7"/>
  <c r="K61" i="7"/>
  <c r="S59" i="7"/>
  <c r="R59" i="7"/>
  <c r="Q59" i="7"/>
  <c r="O59" i="7"/>
  <c r="K59" i="7"/>
  <c r="S53" i="7"/>
  <c r="R53" i="7"/>
  <c r="Q53" i="7"/>
  <c r="P53" i="7"/>
  <c r="K53" i="7"/>
  <c r="K24" i="7"/>
  <c r="S24" i="7"/>
  <c r="Q24" i="7"/>
  <c r="P24" i="7"/>
  <c r="M70" i="7"/>
  <c r="L70" i="7"/>
  <c r="K70" i="7"/>
  <c r="D70" i="7"/>
  <c r="D69" i="7"/>
  <c r="K69" i="7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K72" i="7" l="1"/>
  <c r="L72" i="7" s="1"/>
  <c r="D62" i="3"/>
  <c r="B62" i="3"/>
  <c r="C62" i="3"/>
  <c r="S30" i="1"/>
  <c r="S29" i="1"/>
  <c r="S19" i="1"/>
  <c r="D61" i="3"/>
  <c r="C61" i="3"/>
  <c r="B61" i="3"/>
  <c r="U36" i="1"/>
  <c r="S31" i="1"/>
  <c r="M72" i="7" l="1"/>
  <c r="D60" i="3"/>
  <c r="C60" i="3"/>
  <c r="B60" i="3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D14" i="1"/>
  <c r="D12" i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36" i="1" l="1"/>
  <c r="E37" i="1"/>
  <c r="U39" i="1"/>
  <c r="U45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G6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<sst xmlns="http://schemas.openxmlformats.org/spreadsheetml/2006/main" count="304" uniqueCount="140">
  <si>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</si>
  <si>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</si>
  <si>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</si>
  <si>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</si>
  <si>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</si>
  <si>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</si>
  <si>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</si>
  <si>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</si>
  <si>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</si>
  <si>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</si>
  <si>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</si>
  <si>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</si>
  <si>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</si>
  <si>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</si>
  <si>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</si>
  <si>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</si>
  <si>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</si>
  <si>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</si>
  <si>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</si>
  <si>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</si>
  <si>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</si>
  <si>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</si>
  <si>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</si>
  <si>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</si>
  <si>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</si>
  <si>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</si>
  <si>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</si>
  <si>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</si>
  <si>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</si>
  <si>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</si>
  <si>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</si>
  <si>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</si>
  <si>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</si>
  <si>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</si>
  <si>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</si>
  <si>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</si>
  <si>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</si>
  <si>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</si>
  <si>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</si>
  <si>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</si>
  <si>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</si>
  <si>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</si>
  <si>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</si>
  <si>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</si>
  <si>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</si>
  <si>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</si>
  <si>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</si>
  <si>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</si>
  <si>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</si>
  <si>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</si>
  <si>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</si>
  <si>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</si>
  <si>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</si>
  <si>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</si>
  <si>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</si>
  <si>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</si>
  <si>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</si>
  <si>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</si>
  <si>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</si>
  <si>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</si>
  <si>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</si>
  <si>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</si>
  <si>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</si>
  <si>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</si>
  <si>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</si>
  <si>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</si>
  <si>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</si>
  <si>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</si>
  <si>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</si>
  <si>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</si>
  <si>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</si>
  <si>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</si>
  <si>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</si>
  <si>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</si>
  <si>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</si>
  <si>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</si>
  <si>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</si>
  <si>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</si>
  <si>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</si>
  <si>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</si>
  <si>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</si>
  <si>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</si>
  <si>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</si>
  <si>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</si>
  <si>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</si>
  <si>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</si>
  <si>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</si>
  <si>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</si>
  <si>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</si>
  <si>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</si>
  <si>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</si>
  <si>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</si>
  <si>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</si>
  <si>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</si>
  <si>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</si>
  <si>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</si>
  <si>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</si>
  <si>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</si>
  <si>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</si>
  <si>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</si>
  <si>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</si>
  <si>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</si>
  <si>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</si>
  <si>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</si>
  <si>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</si>
  <si>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</si>
  <si>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</si>
  <si>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</si>
  <si>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</si>
  <si>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</si>
  <si>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</si>
  <si>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</si>
  <si>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</si>
  <si>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</si>
  <si>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</si>
  <si>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</si>
  <si>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</si>
  <si>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</si>
  <si>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</si>
  <si>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</si>
  <si>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</si>
  <si>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</si>
  <si>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</si>
  <si>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</si>
  <si>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</si>
  <si>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</si>
  <si>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</si>
  <si>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</si>
  <si>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</si>
  <si>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</si>
  <si>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</si>
  <si>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</si>
  <si>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</si>
  <si>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</si>
  <si>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</si>
  <si>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</si>
  <si>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</si>
  <si>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</si>
  <si>
    <t>TRIP</t>
  </si>
  <si>
    <t>Tripadvisor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</si>
</sst>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"/>
  <sheetViews>
    <sheetView tabSelected="1" zoomScale="110" zoomScaleNormal="110" workbookViewId="0">
      <pane ySplit="1" topLeftCell="A5" activePane="bottomLeft" state="frozen"/>
      <selection activeCell="D1" sqref="D1"/>
      <selection pane="bottomLeft" activeCell="C34" sqref="C34"/>
    </sheetView>
  </sheetViews>
  <sheetFormatPr baseColWidth="10" defaultColWidth="9.1640625" defaultRowHeight="21" x14ac:dyDescent="0.25"/>
  <cols>
    <col min="1" max="1" width="8.1640625" style="29" bestFit="1" customWidth="1"/>
    <col min="2" max="3" width="14.164062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1.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120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128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120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129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128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120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130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129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131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132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129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128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128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1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4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120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30">
        <v>46268</v>
      </c>
      <c r="D32" s="31">
        <f t="shared" si="5"/>
        <v>2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-2000</v>
      </c>
      <c r="M32" s="43">
        <v>50.406999999999996</v>
      </c>
      <c r="N32" s="43" t="s">
        <v>72</v>
      </c>
      <c r="O32" s="43">
        <v>50.41</v>
      </c>
      <c r="P32" s="45">
        <v>100080</v>
      </c>
      <c r="Q32" s="43">
        <v>1.21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932</v>
      </c>
    </row>
    <row r="33" spans="1:22" x14ac:dyDescent="0.25">
      <c r="A33" s="29">
        <v>28</v>
      </c>
      <c r="B33" s="30">
        <v>46274</v>
      </c>
      <c r="C33" s="30">
        <v>46274</v>
      </c>
      <c r="D33" s="31">
        <f t="shared" si="5"/>
        <v>0</v>
      </c>
      <c r="E33" s="43" t="s">
        <v>138</v>
      </c>
      <c r="F33" s="44" t="s">
        <v>139</v>
      </c>
      <c r="G33" s="43" t="s">
        <v>23</v>
      </c>
      <c r="H33" s="44" t="s">
        <v>24</v>
      </c>
      <c r="I33" s="43" t="s">
        <v>25</v>
      </c>
      <c r="J33" s="43" t="s">
        <v>25</v>
      </c>
      <c r="K33" s="43" t="s">
        <v>138</v>
      </c>
      <c r="L33" s="43">
        <v>6100</v>
      </c>
      <c r="M33" s="43">
        <v>8.8520000000000003</v>
      </c>
      <c r="N33" s="43" t="s">
        <v>72</v>
      </c>
      <c r="O33" s="43">
        <v>9.07</v>
      </c>
      <c r="P33" s="45">
        <v>52826</v>
      </c>
      <c r="Q33" s="43">
        <v>2.4500000000000002</v>
      </c>
      <c r="R33" s="43" t="s">
        <v>72</v>
      </c>
      <c r="S33" s="46" t="s">
        <v>72</v>
      </c>
      <c r="T33" s="43" t="s">
        <v>72</v>
      </c>
      <c r="U33" s="45" t="s">
        <v>72</v>
      </c>
      <c r="V33" s="29">
        <v>753</v>
      </c>
    </row>
    <row r="34" spans="1:22" x14ac:dyDescent="0.25">
      <c r="A34" s="29">
        <v>29</v>
      </c>
      <c r="B34" s="30">
        <v>46274</v>
      </c>
      <c r="C34" s="30">
        <v>46274</v>
      </c>
      <c r="D34" s="31">
        <f t="shared" si="5"/>
        <v>0</v>
      </c>
      <c r="E34" s="43" t="s">
        <v>99</v>
      </c>
      <c r="F34" s="44" t="s">
        <v>100</v>
      </c>
      <c r="G34" s="43" t="s">
        <v>23</v>
      </c>
      <c r="H34" s="44" t="s">
        <v>24</v>
      </c>
      <c r="I34" s="43" t="s">
        <v>25</v>
      </c>
      <c r="J34" s="43" t="s">
        <v>25</v>
      </c>
      <c r="K34" s="43" t="s">
        <v>99</v>
      </c>
      <c r="L34" s="43">
        <v>100</v>
      </c>
      <c r="M34" s="43">
        <v>321.976</v>
      </c>
      <c r="N34" s="43" t="s">
        <v>72</v>
      </c>
      <c r="O34" s="43">
        <v>320.8</v>
      </c>
      <c r="P34" s="45">
        <v>32080</v>
      </c>
      <c r="Q34" s="43">
        <v>2.87</v>
      </c>
      <c r="R34" s="43" t="s">
        <v>72</v>
      </c>
      <c r="S34" s="46" t="s">
        <v>72</v>
      </c>
      <c r="T34" s="43" t="s">
        <v>72</v>
      </c>
      <c r="U34" s="45" t="s">
        <v>72</v>
      </c>
      <c r="V34" s="29">
        <v>-118</v>
      </c>
    </row>
    <row r="35" spans="1:22" x14ac:dyDescent="0.25">
      <c r="F35" s="32"/>
      <c r="H35" s="32"/>
    </row>
    <row r="36" spans="1:22" x14ac:dyDescent="0.25">
      <c r="D36" s="48" t="s">
        <v>103</v>
      </c>
      <c r="E36" s="42">
        <f>AVERAGE(D2:D32)</f>
        <v>8.32258064516129</v>
      </c>
      <c r="F36" s="32"/>
      <c r="H36" s="32"/>
      <c r="U36" s="35">
        <f>SUM(U2:U31)</f>
        <v>67975.47</v>
      </c>
      <c r="V36" s="35">
        <f>SUM(V2:V34)</f>
        <v>1567</v>
      </c>
    </row>
    <row r="37" spans="1:22" x14ac:dyDescent="0.25">
      <c r="D37" s="48" t="s">
        <v>104</v>
      </c>
      <c r="E37" s="42">
        <f>AVERAGE(D2:D11,D13,D15:D32)</f>
        <v>4.8965517241379306</v>
      </c>
      <c r="F37" s="32"/>
      <c r="U37" s="49" t="s">
        <v>105</v>
      </c>
      <c r="V37" s="32" t="s">
        <v>106</v>
      </c>
    </row>
    <row r="38" spans="1:22" x14ac:dyDescent="0.25">
      <c r="F38" s="32"/>
      <c r="U38" s="29" t="s">
        <v>107</v>
      </c>
    </row>
    <row r="39" spans="1:22" x14ac:dyDescent="0.25">
      <c r="F39" s="32"/>
      <c r="U39" s="35">
        <f>U36+V36</f>
        <v>69542.47</v>
      </c>
    </row>
    <row r="40" spans="1:22" x14ac:dyDescent="0.25">
      <c r="F40" s="32"/>
    </row>
    <row r="41" spans="1:22" x14ac:dyDescent="0.25">
      <c r="F41" s="32"/>
      <c r="U41" s="32" t="s">
        <v>108</v>
      </c>
    </row>
    <row r="42" spans="1:22" x14ac:dyDescent="0.25">
      <c r="F42" s="32"/>
      <c r="U42" s="35">
        <v>333000</v>
      </c>
    </row>
    <row r="44" spans="1:22" x14ac:dyDescent="0.25">
      <c r="U44" s="29" t="s">
        <v>109</v>
      </c>
    </row>
    <row r="45" spans="1:22" x14ac:dyDescent="0.25">
      <c r="U45" s="50">
        <f>U39/U42</f>
        <v>0.20883624624624625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0"/>
  <sheetViews>
    <sheetView topLeftCell="A48" zoomScale="200" zoomScaleNormal="200" workbookViewId="0">
      <selection activeCell="C68" sqref="C68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7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7" x14ac:dyDescent="0.2">
      <c r="A2" s="22">
        <v>46184</v>
      </c>
      <c r="B2" s="1">
        <v>333455.63</v>
      </c>
      <c r="C2" s="18">
        <v>0</v>
      </c>
      <c r="D2" s="19">
        <v>0</v>
      </c>
    </row>
    <row r="3" spans="1:7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</row>
    <row r="4" spans="1:7" x14ac:dyDescent="0.2">
      <c r="A4" s="22">
        <v>46188</v>
      </c>
      <c r="B4" s="1">
        <v>356930.64</v>
      </c>
      <c r="C4" s="1">
        <f t="shared" ref="C4:C65" si="0">B4-B3</f>
        <v>6713.6600000000326</v>
      </c>
      <c r="D4" s="19">
        <f t="shared" ref="D4:D65" si="1">C4/B3</f>
        <v>1.9170001408840977E-2</v>
      </c>
    </row>
    <row r="5" spans="1:7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</row>
    <row r="6" spans="1:7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</row>
    <row r="7" spans="1:7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</row>
    <row r="8" spans="1:7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7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7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7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7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7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7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7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7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  <row r="65" spans="1:7" x14ac:dyDescent="0.2">
      <c r="A65" s="22">
        <v>46273</v>
      </c>
      <c r="B65" s="1">
        <f>B64-540</f>
        <v>408011</v>
      </c>
      <c r="C65" s="1">
        <f t="shared" si="0"/>
        <v>-540</v>
      </c>
      <c r="D65" s="19">
        <f t="shared" si="1"/>
        <v>-1.3217444088987665E-3</v>
      </c>
      <c r="F65" s="21" t="s">
        <v>114</v>
      </c>
      <c r="G65" s="23">
        <f>AVERAGE(C3:C65)</f>
        <v>1183.4141269841264</v>
      </c>
    </row>
    <row r="66" spans="1:7" x14ac:dyDescent="0.2">
      <c r="F66" s="21" t="s">
        <v>115</v>
      </c>
      <c r="G66" s="23">
        <f>_xlfn.STDEV.S(C3:C65)</f>
        <v>4427.8842603636631</v>
      </c>
    </row>
    <row r="67" spans="1:7" x14ac:dyDescent="0.2">
      <c r="F67" s="21" t="s">
        <v>116</v>
      </c>
      <c r="G67" s="24">
        <f>(G65/G66)*SQRT(252)</f>
        <v>4.2426847142704576</v>
      </c>
    </row>
    <row r="68" spans="1:7" x14ac:dyDescent="0.2">
      <c r="F68" s="21" t="s">
        <v>117</v>
      </c>
      <c r="G68" s="25">
        <f>_xlfn.STDEV.S(D2:D65)*SQRT(252)</f>
        <v>0.19268245470913598</v>
      </c>
    </row>
    <row r="69" spans="1:7" x14ac:dyDescent="0.2">
      <c r="F69" s="21" t="s">
        <v>118</v>
      </c>
      <c r="G69" s="25" cm="1">
        <f t="array" ref="G69">PRODUCT(1+D2:D65)-1</f>
        <v>0.22358324065510282</v>
      </c>
    </row>
    <row r="70" spans="1:7" x14ac:dyDescent="0.2">
      <c r="F70" s="21" t="s">
        <v>119</v>
      </c>
      <c r="G70" s="25" cm="1">
        <f t="array" ref="G70">PRODUCT(1+D2:D65)^(252/COUNT(D2:D64))-1</f>
        <v>1.2414759290746655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T1048543"/>
  <sheetViews>
    <sheetView zoomScale="110" zoomScaleNormal="110" workbookViewId="0">
      <pane ySplit="1" topLeftCell="A44" activePane="bottomLeft" state="frozen"/>
      <selection pane="bottomLeft" activeCell="C74" sqref="C74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14" bestFit="1" customWidth="1"/>
    <col min="11" max="11" width="15.83203125" style="17" bestFit="1" customWidth="1"/>
    <col min="12" max="12" width="18" style="13" bestFit="1" customWidth="1"/>
    <col min="13" max="13" width="16.33203125" style="13" bestFit="1" customWidth="1"/>
    <col min="14" max="14" width="18.33203125" style="12" bestFit="1" customWidth="1"/>
    <col min="15" max="15" width="20.5" style="12" bestFit="1" customWidth="1"/>
    <col min="16" max="16" width="16.6640625" style="12" bestFit="1" customWidth="1"/>
    <col min="17" max="17" width="20.33203125" style="12" bestFit="1" customWidth="1"/>
    <col min="18" max="18" width="17.1640625" style="12" bestFit="1" customWidth="1"/>
    <col min="19" max="19" width="14.83203125" style="13" bestFit="1" customWidth="1"/>
    <col min="20" max="20" width="9.1640625" style="13"/>
    <col min="21" max="16384" width="9.1640625" style="14"/>
  </cols>
  <sheetData>
    <row r="1" spans="1:19" s="4" customFormat="1" x14ac:dyDescent="0.25">
      <c r="A1" s="2" t="s">
        <v>110</v>
      </c>
      <c r="B1" s="2" t="s">
        <v>121</v>
      </c>
      <c r="C1" s="3" t="s">
        <v>122</v>
      </c>
      <c r="D1" s="4" t="s">
        <v>123</v>
      </c>
      <c r="E1" s="4" t="s">
        <v>128</v>
      </c>
      <c r="F1" s="4" t="s">
        <v>120</v>
      </c>
      <c r="G1" s="4" t="s">
        <v>129</v>
      </c>
      <c r="H1" s="4" t="s">
        <v>130</v>
      </c>
      <c r="I1" s="4" t="s">
        <v>132</v>
      </c>
      <c r="J1" s="4" t="s">
        <v>48</v>
      </c>
      <c r="K1" s="5" t="s">
        <v>124</v>
      </c>
      <c r="L1" s="4" t="s">
        <v>125</v>
      </c>
      <c r="M1" s="4" t="s">
        <v>126</v>
      </c>
      <c r="N1" s="4" t="s">
        <v>133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127</v>
      </c>
    </row>
    <row r="2" spans="1:19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10">
        <v>300000</v>
      </c>
      <c r="L2" s="11">
        <v>0.35237333333333332</v>
      </c>
      <c r="M2" s="11">
        <v>0.64762666666666668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1">
        <v>0</v>
      </c>
    </row>
    <row r="3" spans="1:19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10">
        <v>300000</v>
      </c>
      <c r="L3" s="11">
        <v>0.35237333333333332</v>
      </c>
      <c r="M3" s="11">
        <v>0.64762666666666668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1">
        <v>0</v>
      </c>
    </row>
    <row r="4" spans="1:19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10">
        <v>300000</v>
      </c>
      <c r="L4" s="11">
        <v>0.81459999999999999</v>
      </c>
      <c r="M4" s="11">
        <v>0.18540000000000001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1">
        <v>0</v>
      </c>
    </row>
    <row r="5" spans="1:19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10">
        <v>907730</v>
      </c>
      <c r="L5" s="11">
        <v>0.2692210238727375</v>
      </c>
      <c r="M5" s="11">
        <v>0</v>
      </c>
      <c r="N5" s="12">
        <v>0.7307789761272625</v>
      </c>
      <c r="O5" s="12">
        <v>0</v>
      </c>
      <c r="P5" s="12">
        <v>0</v>
      </c>
      <c r="Q5" s="12">
        <v>0</v>
      </c>
      <c r="R5" s="12">
        <v>0</v>
      </c>
      <c r="S5" s="11">
        <v>0</v>
      </c>
    </row>
    <row r="6" spans="1:19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10">
        <v>3696918</v>
      </c>
      <c r="L6" s="11">
        <v>3.7509081889292646E-2</v>
      </c>
      <c r="M6" s="11">
        <v>0</v>
      </c>
      <c r="N6" s="12">
        <v>0.17943324682884501</v>
      </c>
      <c r="O6" s="12">
        <v>0.78305767128186232</v>
      </c>
      <c r="P6" s="12">
        <v>0</v>
      </c>
      <c r="Q6" s="12">
        <v>0</v>
      </c>
      <c r="R6" s="12">
        <v>0</v>
      </c>
      <c r="S6" s="11">
        <v>0</v>
      </c>
    </row>
    <row r="7" spans="1:19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10">
        <v>802018</v>
      </c>
      <c r="L7" s="11">
        <v>0.17289886261904347</v>
      </c>
      <c r="M7" s="11">
        <v>0</v>
      </c>
      <c r="N7" s="12">
        <v>0.82710113738095659</v>
      </c>
      <c r="O7" s="12">
        <v>0</v>
      </c>
      <c r="P7" s="12">
        <v>0</v>
      </c>
      <c r="Q7" s="12">
        <v>0</v>
      </c>
      <c r="R7" s="12">
        <v>0</v>
      </c>
      <c r="S7" s="11">
        <v>0</v>
      </c>
    </row>
    <row r="8" spans="1:19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10">
        <v>600137</v>
      </c>
      <c r="L8" s="11">
        <v>0.23106057450215534</v>
      </c>
      <c r="M8" s="11">
        <v>0</v>
      </c>
      <c r="N8" s="12">
        <v>0.76893942549784466</v>
      </c>
      <c r="O8" s="12">
        <v>0</v>
      </c>
      <c r="P8" s="12">
        <v>0</v>
      </c>
      <c r="Q8" s="12">
        <v>0</v>
      </c>
      <c r="R8" s="12">
        <v>0</v>
      </c>
      <c r="S8" s="11">
        <v>0</v>
      </c>
    </row>
    <row r="9" spans="1:19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10">
        <v>600137</v>
      </c>
      <c r="L9" s="11">
        <v>0.23106057450215534</v>
      </c>
      <c r="M9" s="11">
        <v>0</v>
      </c>
      <c r="N9" s="12">
        <v>0.76893942549784466</v>
      </c>
      <c r="O9" s="12">
        <v>0</v>
      </c>
      <c r="P9" s="12">
        <v>0</v>
      </c>
      <c r="Q9" s="12">
        <v>0</v>
      </c>
      <c r="R9" s="12">
        <v>0</v>
      </c>
      <c r="S9" s="11">
        <v>0</v>
      </c>
    </row>
    <row r="10" spans="1:19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10">
        <v>461469</v>
      </c>
      <c r="L10" s="11">
        <v>0</v>
      </c>
      <c r="M10" s="11">
        <v>0</v>
      </c>
      <c r="N10" s="12">
        <v>1</v>
      </c>
      <c r="O10" s="12">
        <v>0</v>
      </c>
      <c r="P10" s="12">
        <v>0</v>
      </c>
      <c r="Q10" s="12">
        <v>0</v>
      </c>
      <c r="R10" s="12">
        <v>0</v>
      </c>
      <c r="S10" s="11">
        <v>0</v>
      </c>
    </row>
    <row r="11" spans="1:19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10">
        <v>461469</v>
      </c>
      <c r="L11" s="11">
        <v>0</v>
      </c>
      <c r="M11" s="11">
        <v>0</v>
      </c>
      <c r="N11" s="12">
        <v>1</v>
      </c>
      <c r="O11" s="12">
        <v>0</v>
      </c>
      <c r="P11" s="12">
        <v>0</v>
      </c>
      <c r="Q11" s="12">
        <v>0</v>
      </c>
      <c r="R11" s="12">
        <v>0</v>
      </c>
      <c r="S11" s="11">
        <v>0</v>
      </c>
    </row>
    <row r="12" spans="1:19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10">
        <v>461469</v>
      </c>
      <c r="L12" s="11">
        <v>0</v>
      </c>
      <c r="M12" s="11">
        <v>0</v>
      </c>
      <c r="N12" s="12">
        <v>1</v>
      </c>
      <c r="O12" s="12">
        <v>0</v>
      </c>
      <c r="P12" s="12">
        <v>0</v>
      </c>
      <c r="Q12" s="12">
        <v>0</v>
      </c>
      <c r="R12" s="12">
        <v>0</v>
      </c>
      <c r="S12" s="11">
        <v>0</v>
      </c>
    </row>
    <row r="13" spans="1:19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10">
        <v>592709</v>
      </c>
      <c r="L13" s="11">
        <v>0</v>
      </c>
      <c r="M13" s="11">
        <v>0</v>
      </c>
      <c r="N13" s="12">
        <v>0.77857599597779015</v>
      </c>
      <c r="O13" s="12">
        <v>0</v>
      </c>
      <c r="P13" s="12">
        <v>0.22142400402220988</v>
      </c>
      <c r="Q13" s="12">
        <v>0</v>
      </c>
      <c r="R13" s="12">
        <v>0</v>
      </c>
      <c r="S13" s="11">
        <v>0</v>
      </c>
    </row>
    <row r="14" spans="1:19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10">
        <v>592709</v>
      </c>
      <c r="L14" s="11">
        <v>0</v>
      </c>
      <c r="M14" s="11">
        <v>0</v>
      </c>
      <c r="N14" s="12">
        <v>0.77857599597779015</v>
      </c>
      <c r="O14" s="12">
        <v>0</v>
      </c>
      <c r="P14" s="12">
        <v>0.22142400402220988</v>
      </c>
      <c r="Q14" s="12">
        <v>0</v>
      </c>
      <c r="R14" s="12">
        <v>0</v>
      </c>
      <c r="S14" s="11">
        <v>0</v>
      </c>
    </row>
    <row r="15" spans="1:19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10">
        <v>592709</v>
      </c>
      <c r="L15" s="11">
        <v>0</v>
      </c>
      <c r="M15" s="11">
        <v>0</v>
      </c>
      <c r="N15" s="12">
        <v>0.77857599597779015</v>
      </c>
      <c r="O15" s="12">
        <v>0</v>
      </c>
      <c r="P15" s="12">
        <v>0.22142400402220988</v>
      </c>
      <c r="Q15" s="12">
        <v>0</v>
      </c>
      <c r="R15" s="12">
        <v>0</v>
      </c>
      <c r="S15" s="11">
        <v>0</v>
      </c>
    </row>
    <row r="16" spans="1:19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10">
        <v>3586250</v>
      </c>
      <c r="L16" s="11">
        <v>0</v>
      </c>
      <c r="M16" s="11">
        <v>0</v>
      </c>
      <c r="N16" s="12">
        <v>0.12867730916695713</v>
      </c>
      <c r="O16" s="12">
        <v>0.87132269083304292</v>
      </c>
      <c r="P16" s="12">
        <v>0</v>
      </c>
      <c r="Q16" s="12">
        <v>0</v>
      </c>
      <c r="R16" s="12">
        <v>0</v>
      </c>
      <c r="S16" s="11">
        <v>0</v>
      </c>
    </row>
    <row r="17" spans="1:19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10">
        <v>3586250</v>
      </c>
      <c r="L17" s="11">
        <v>0</v>
      </c>
      <c r="M17" s="11">
        <v>0</v>
      </c>
      <c r="N17" s="12">
        <v>0.12867730916695713</v>
      </c>
      <c r="O17" s="12">
        <v>0.87132269083304292</v>
      </c>
      <c r="P17" s="12">
        <v>0</v>
      </c>
      <c r="Q17" s="12">
        <v>0</v>
      </c>
      <c r="R17" s="12">
        <v>0</v>
      </c>
      <c r="S17" s="11">
        <v>0</v>
      </c>
    </row>
    <row r="18" spans="1:19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193096</v>
      </c>
      <c r="K18" s="10">
        <v>3779346</v>
      </c>
      <c r="L18" s="11">
        <v>0</v>
      </c>
      <c r="M18" s="11">
        <v>0</v>
      </c>
      <c r="N18" s="12">
        <v>0.12210287176670249</v>
      </c>
      <c r="O18" s="12">
        <v>0.8268046905469888</v>
      </c>
      <c r="P18" s="12">
        <v>0</v>
      </c>
      <c r="Q18" s="12">
        <v>0</v>
      </c>
      <c r="R18" s="12">
        <v>0</v>
      </c>
      <c r="S18" s="11">
        <v>5.1092437686308688E-2</v>
      </c>
    </row>
    <row r="19" spans="1:19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193096</v>
      </c>
      <c r="K19" s="10">
        <v>3981471</v>
      </c>
      <c r="L19" s="11">
        <v>0</v>
      </c>
      <c r="M19" s="11">
        <v>0</v>
      </c>
      <c r="N19" s="12">
        <v>0.16667055970017111</v>
      </c>
      <c r="O19" s="12">
        <v>0.78483078239173409</v>
      </c>
      <c r="P19" s="12">
        <v>0</v>
      </c>
      <c r="Q19" s="12">
        <v>0</v>
      </c>
      <c r="R19" s="12">
        <v>0</v>
      </c>
      <c r="S19" s="11">
        <v>4.8498657908094774E-2</v>
      </c>
    </row>
    <row r="20" spans="1:19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193096</v>
      </c>
      <c r="K20" s="10">
        <v>3981471</v>
      </c>
      <c r="L20" s="11">
        <v>0</v>
      </c>
      <c r="M20" s="11">
        <v>0</v>
      </c>
      <c r="N20" s="12">
        <v>0.16667055970017111</v>
      </c>
      <c r="O20" s="12">
        <v>0.78483078239173409</v>
      </c>
      <c r="P20" s="12">
        <v>0</v>
      </c>
      <c r="Q20" s="12">
        <v>0</v>
      </c>
      <c r="R20" s="12">
        <v>0</v>
      </c>
      <c r="S20" s="11">
        <v>4.8498657908094774E-2</v>
      </c>
    </row>
    <row r="21" spans="1:19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416939</v>
      </c>
      <c r="K21" s="10">
        <v>4260349</v>
      </c>
      <c r="L21" s="11">
        <v>1.2917955782495754E-2</v>
      </c>
      <c r="M21" s="11">
        <v>0</v>
      </c>
      <c r="N21" s="12">
        <v>0.1557604787776776</v>
      </c>
      <c r="O21" s="12">
        <v>0.73345657832257405</v>
      </c>
      <c r="P21" s="12">
        <v>0</v>
      </c>
      <c r="Q21" s="12">
        <v>0</v>
      </c>
      <c r="R21" s="12">
        <v>0</v>
      </c>
      <c r="S21" s="11">
        <v>9.7864987117252597E-2</v>
      </c>
    </row>
    <row r="22" spans="1:19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223843</v>
      </c>
      <c r="K22" s="10">
        <v>3524723</v>
      </c>
      <c r="L22" s="11">
        <v>1.5613992929373457E-2</v>
      </c>
      <c r="M22" s="11">
        <v>0</v>
      </c>
      <c r="N22" s="12">
        <v>0</v>
      </c>
      <c r="O22" s="12">
        <v>0.88653236013156211</v>
      </c>
      <c r="P22" s="12">
        <v>0</v>
      </c>
      <c r="Q22" s="12">
        <v>3.4347096211532084E-2</v>
      </c>
      <c r="R22" s="12">
        <v>0</v>
      </c>
      <c r="S22" s="11">
        <v>6.3506550727532349E-2</v>
      </c>
    </row>
    <row r="23" spans="1:19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223843</v>
      </c>
      <c r="K23" s="10">
        <v>3469688</v>
      </c>
      <c r="L23" s="11">
        <v>0</v>
      </c>
      <c r="M23" s="11">
        <v>0</v>
      </c>
      <c r="N23" s="12">
        <v>0</v>
      </c>
      <c r="O23" s="12">
        <v>0.90059423210386635</v>
      </c>
      <c r="P23" s="12">
        <v>0</v>
      </c>
      <c r="Q23" s="12">
        <v>3.4891898061151318E-2</v>
      </c>
      <c r="R23" s="12">
        <v>0</v>
      </c>
      <c r="S23" s="11">
        <v>6.4513869834982279E-2</v>
      </c>
    </row>
    <row r="24" spans="1:19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223843</v>
      </c>
      <c r="K24" s="10">
        <f>SUM(C24:J24)</f>
        <v>460932</v>
      </c>
      <c r="L24" s="11">
        <v>0</v>
      </c>
      <c r="M24" s="11">
        <v>0</v>
      </c>
      <c r="N24" s="12">
        <v>0</v>
      </c>
      <c r="O24" s="12">
        <v>0</v>
      </c>
      <c r="P24" s="12">
        <f>G24/K24</f>
        <v>0.25171825779073703</v>
      </c>
      <c r="Q24" s="12">
        <f>H24/K24</f>
        <v>0.2626504560325601</v>
      </c>
      <c r="R24" s="12">
        <v>0</v>
      </c>
      <c r="S24" s="11">
        <f>J24/K24</f>
        <v>0.48563128617670287</v>
      </c>
    </row>
    <row r="25" spans="1:19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223843</v>
      </c>
      <c r="K25" s="10">
        <v>374479.39</v>
      </c>
      <c r="L25" s="11">
        <v>0</v>
      </c>
      <c r="M25" s="11">
        <v>7.8969339273918415E-2</v>
      </c>
      <c r="N25" s="12">
        <v>0</v>
      </c>
      <c r="O25" s="12">
        <v>0</v>
      </c>
      <c r="P25" s="12">
        <v>0</v>
      </c>
      <c r="Q25" s="12">
        <v>0.32328614933921995</v>
      </c>
      <c r="R25" s="12">
        <v>0</v>
      </c>
      <c r="S25" s="11">
        <v>0.59774451138686158</v>
      </c>
    </row>
    <row r="26" spans="1:19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223843</v>
      </c>
      <c r="K26" s="10">
        <v>372801.92</v>
      </c>
      <c r="L26" s="11">
        <v>0</v>
      </c>
      <c r="M26" s="11">
        <v>7.4825043819516768E-2</v>
      </c>
      <c r="N26" s="12">
        <v>0</v>
      </c>
      <c r="O26" s="12">
        <v>0</v>
      </c>
      <c r="P26" s="12">
        <v>0</v>
      </c>
      <c r="Q26" s="12">
        <v>0.32474081678549299</v>
      </c>
      <c r="R26" s="12">
        <v>0</v>
      </c>
      <c r="S26" s="11">
        <v>0.60043413939499024</v>
      </c>
    </row>
    <row r="27" spans="1:19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223843</v>
      </c>
      <c r="K27" s="10">
        <v>375246.11</v>
      </c>
      <c r="L27" s="11">
        <v>0</v>
      </c>
      <c r="M27" s="11">
        <v>8.0851231209298838E-2</v>
      </c>
      <c r="N27" s="12">
        <v>0</v>
      </c>
      <c r="O27" s="12">
        <v>0</v>
      </c>
      <c r="P27" s="12">
        <v>0</v>
      </c>
      <c r="Q27" s="12">
        <v>0.32262559630531545</v>
      </c>
      <c r="R27" s="12">
        <v>0</v>
      </c>
      <c r="S27" s="11">
        <v>0.59652317248538567</v>
      </c>
    </row>
    <row r="28" spans="1:19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223843</v>
      </c>
      <c r="K28" s="10">
        <v>435718</v>
      </c>
      <c r="L28" s="11">
        <v>0.20841691185583336</v>
      </c>
      <c r="M28" s="11">
        <v>0</v>
      </c>
      <c r="N28" s="12">
        <v>0</v>
      </c>
      <c r="O28" s="12">
        <v>0</v>
      </c>
      <c r="P28" s="12">
        <v>0</v>
      </c>
      <c r="Q28" s="12">
        <v>0.27784943472613022</v>
      </c>
      <c r="R28" s="12">
        <v>0</v>
      </c>
      <c r="S28" s="11">
        <v>0.51373365341803645</v>
      </c>
    </row>
    <row r="29" spans="1:19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223843</v>
      </c>
      <c r="K29" s="10">
        <v>435718</v>
      </c>
      <c r="L29" s="11">
        <v>0.20841691185583336</v>
      </c>
      <c r="M29" s="11">
        <v>0</v>
      </c>
      <c r="N29" s="12">
        <v>0</v>
      </c>
      <c r="O29" s="12">
        <v>0</v>
      </c>
      <c r="P29" s="12">
        <v>0</v>
      </c>
      <c r="Q29" s="12">
        <v>0.27784943472613022</v>
      </c>
      <c r="R29" s="12">
        <v>0</v>
      </c>
      <c r="S29" s="11">
        <v>0.51373365341803645</v>
      </c>
    </row>
    <row r="30" spans="1:19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223843</v>
      </c>
      <c r="K30" s="10">
        <v>435718</v>
      </c>
      <c r="L30" s="11">
        <v>0.20841691185583336</v>
      </c>
      <c r="M30" s="11">
        <v>0</v>
      </c>
      <c r="N30" s="12">
        <v>0</v>
      </c>
      <c r="O30" s="12">
        <v>0</v>
      </c>
      <c r="P30" s="12">
        <v>0</v>
      </c>
      <c r="Q30" s="12">
        <v>0.27784943472613022</v>
      </c>
      <c r="R30" s="12">
        <v>0</v>
      </c>
      <c r="S30" s="11">
        <v>0.51373365341803645</v>
      </c>
    </row>
    <row r="31" spans="1:19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223843</v>
      </c>
      <c r="K31" s="10">
        <v>435718</v>
      </c>
      <c r="L31" s="11">
        <v>0.20841691185583336</v>
      </c>
      <c r="M31" s="11">
        <v>0</v>
      </c>
      <c r="N31" s="12">
        <v>0</v>
      </c>
      <c r="O31" s="12">
        <v>0</v>
      </c>
      <c r="P31" s="12">
        <v>0</v>
      </c>
      <c r="Q31" s="12">
        <v>0.27784943472613022</v>
      </c>
      <c r="R31" s="12">
        <v>0</v>
      </c>
      <c r="S31" s="11">
        <v>0.51373365341803645</v>
      </c>
    </row>
    <row r="32" spans="1:19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223843</v>
      </c>
      <c r="K32" s="10">
        <v>378852.03</v>
      </c>
      <c r="L32" s="11">
        <v>0</v>
      </c>
      <c r="M32" s="11">
        <v>8.9599704665697652E-2</v>
      </c>
      <c r="N32" s="12">
        <v>0</v>
      </c>
      <c r="O32" s="12">
        <v>0</v>
      </c>
      <c r="P32" s="12">
        <v>0</v>
      </c>
      <c r="Q32" s="12">
        <v>0.31955484044786558</v>
      </c>
      <c r="R32" s="12">
        <v>0</v>
      </c>
      <c r="S32" s="11">
        <v>0.5908454548864368</v>
      </c>
    </row>
    <row r="33" spans="1:19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223843</v>
      </c>
      <c r="K33" s="10">
        <v>374437.1</v>
      </c>
      <c r="L33" s="11">
        <v>0</v>
      </c>
      <c r="M33" s="11">
        <v>7.8865315429480623E-2</v>
      </c>
      <c r="N33" s="12">
        <v>0</v>
      </c>
      <c r="O33" s="12">
        <v>0</v>
      </c>
      <c r="P33" s="12">
        <v>0</v>
      </c>
      <c r="Q33" s="12">
        <v>0.32332266220414591</v>
      </c>
      <c r="R33" s="12">
        <v>0</v>
      </c>
      <c r="S33" s="11">
        <v>0.59781202236637343</v>
      </c>
    </row>
    <row r="34" spans="1:19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223843</v>
      </c>
      <c r="K34" s="10">
        <v>372248.26</v>
      </c>
      <c r="L34" s="11">
        <v>0</v>
      </c>
      <c r="M34" s="11">
        <v>7.3448993421755704E-2</v>
      </c>
      <c r="N34" s="12">
        <v>0</v>
      </c>
      <c r="O34" s="12">
        <v>0</v>
      </c>
      <c r="P34" s="12">
        <v>0</v>
      </c>
      <c r="Q34" s="12">
        <v>0.32522381703006481</v>
      </c>
      <c r="R34" s="12">
        <v>0</v>
      </c>
      <c r="S34" s="11">
        <v>0.60132718954817943</v>
      </c>
    </row>
    <row r="35" spans="1:19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223843</v>
      </c>
      <c r="K35" s="10">
        <v>376025.4</v>
      </c>
      <c r="L35" s="11">
        <v>0</v>
      </c>
      <c r="M35" s="11">
        <v>8.2756111688199838E-2</v>
      </c>
      <c r="N35" s="12">
        <v>0</v>
      </c>
      <c r="O35" s="12">
        <v>0</v>
      </c>
      <c r="P35" s="12">
        <v>0</v>
      </c>
      <c r="Q35" s="12">
        <v>0.32195697418312696</v>
      </c>
      <c r="R35" s="12">
        <v>0</v>
      </c>
      <c r="S35" s="11">
        <v>0.59528691412867318</v>
      </c>
    </row>
    <row r="36" spans="1:19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223843</v>
      </c>
      <c r="K36" s="10">
        <v>375009.72</v>
      </c>
      <c r="L36" s="11">
        <v>0</v>
      </c>
      <c r="M36" s="11">
        <v>8.0271839353923874E-2</v>
      </c>
      <c r="N36" s="12">
        <v>0</v>
      </c>
      <c r="O36" s="12">
        <v>0</v>
      </c>
      <c r="P36" s="12">
        <v>0</v>
      </c>
      <c r="Q36" s="12">
        <v>0.32282896560654484</v>
      </c>
      <c r="R36" s="12">
        <v>0</v>
      </c>
      <c r="S36" s="11">
        <v>0.59689919503953126</v>
      </c>
    </row>
    <row r="37" spans="1:19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223843</v>
      </c>
      <c r="K37" s="10">
        <v>375731.28</v>
      </c>
      <c r="L37" s="11">
        <v>0</v>
      </c>
      <c r="M37" s="11">
        <v>8.2038099143622076E-2</v>
      </c>
      <c r="N37" s="12">
        <v>0</v>
      </c>
      <c r="O37" s="12">
        <v>0</v>
      </c>
      <c r="P37" s="12">
        <v>0</v>
      </c>
      <c r="Q37" s="12">
        <v>0.32220900000660047</v>
      </c>
      <c r="R37" s="12">
        <v>0</v>
      </c>
      <c r="S37" s="11">
        <v>0.5957529008497775</v>
      </c>
    </row>
    <row r="38" spans="1:19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223843</v>
      </c>
      <c r="K38" s="10">
        <v>378174.99</v>
      </c>
      <c r="L38" s="11">
        <v>0</v>
      </c>
      <c r="M38" s="11">
        <v>8.79698311091381E-2</v>
      </c>
      <c r="N38" s="12">
        <v>0</v>
      </c>
      <c r="O38" s="12">
        <v>0</v>
      </c>
      <c r="P38" s="12">
        <v>0</v>
      </c>
      <c r="Q38" s="12">
        <v>0.32012693383028845</v>
      </c>
      <c r="R38" s="12">
        <v>0</v>
      </c>
      <c r="S38" s="11">
        <v>0.59190323506057341</v>
      </c>
    </row>
    <row r="39" spans="1:19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223843</v>
      </c>
      <c r="K39" s="10">
        <v>380362.45</v>
      </c>
      <c r="L39" s="11">
        <v>0</v>
      </c>
      <c r="M39" s="11">
        <v>9.3214905940373474E-2</v>
      </c>
      <c r="N39" s="12">
        <v>0</v>
      </c>
      <c r="O39" s="12">
        <v>0</v>
      </c>
      <c r="P39" s="12">
        <v>0</v>
      </c>
      <c r="Q39" s="12">
        <v>0.31828588757907095</v>
      </c>
      <c r="R39" s="12">
        <v>0</v>
      </c>
      <c r="S39" s="11">
        <v>0.58849920648055554</v>
      </c>
    </row>
    <row r="40" spans="1:19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223843</v>
      </c>
      <c r="K40" s="10">
        <v>377185.45</v>
      </c>
      <c r="L40" s="11">
        <v>0</v>
      </c>
      <c r="M40" s="11">
        <v>8.5577134536870422E-2</v>
      </c>
      <c r="N40" s="12">
        <v>0</v>
      </c>
      <c r="O40" s="12">
        <v>0</v>
      </c>
      <c r="P40" s="12">
        <v>0</v>
      </c>
      <c r="Q40" s="12">
        <v>0.32096678172501086</v>
      </c>
      <c r="R40" s="12">
        <v>0</v>
      </c>
      <c r="S40" s="11">
        <v>0.59345608373811876</v>
      </c>
    </row>
    <row r="41" spans="1:19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223843</v>
      </c>
      <c r="K41" s="10">
        <v>378220.45</v>
      </c>
      <c r="L41" s="11">
        <v>0</v>
      </c>
      <c r="M41" s="11">
        <v>8.807945207616355E-2</v>
      </c>
      <c r="N41" s="12">
        <v>0</v>
      </c>
      <c r="O41" s="12">
        <v>0</v>
      </c>
      <c r="P41" s="12">
        <v>0</v>
      </c>
      <c r="Q41" s="12">
        <v>0.32008845634867178</v>
      </c>
      <c r="R41" s="12">
        <v>0</v>
      </c>
      <c r="S41" s="11">
        <v>0.5918320915751647</v>
      </c>
    </row>
    <row r="42" spans="1:19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223843</v>
      </c>
      <c r="K42" s="10">
        <v>679531</v>
      </c>
      <c r="L42" s="11">
        <v>0.49243375210255308</v>
      </c>
      <c r="M42" s="11">
        <v>0</v>
      </c>
      <c r="N42" s="12">
        <v>0</v>
      </c>
      <c r="O42" s="12">
        <v>0</v>
      </c>
      <c r="P42" s="12">
        <v>0</v>
      </c>
      <c r="Q42" s="12">
        <v>0.17815817085607574</v>
      </c>
      <c r="R42" s="12">
        <v>0</v>
      </c>
      <c r="S42" s="11">
        <v>0.32940807704137121</v>
      </c>
    </row>
    <row r="43" spans="1:19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223843</v>
      </c>
      <c r="K43" s="10">
        <v>679531</v>
      </c>
      <c r="L43" s="11">
        <v>0.49243375210255308</v>
      </c>
      <c r="M43" s="11">
        <v>0</v>
      </c>
      <c r="N43" s="12">
        <v>0</v>
      </c>
      <c r="O43" s="12">
        <v>0</v>
      </c>
      <c r="P43" s="12">
        <v>0</v>
      </c>
      <c r="Q43" s="12">
        <v>0.17815817085607574</v>
      </c>
      <c r="R43" s="12">
        <v>0</v>
      </c>
      <c r="S43" s="11">
        <v>0.32940807704137121</v>
      </c>
    </row>
    <row r="44" spans="1:19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223843</v>
      </c>
      <c r="K44" s="10">
        <v>391793.7</v>
      </c>
      <c r="L44" s="11">
        <v>0</v>
      </c>
      <c r="M44" s="11">
        <v>0.11967190896637697</v>
      </c>
      <c r="N44" s="12">
        <v>0</v>
      </c>
      <c r="O44" s="12">
        <v>0</v>
      </c>
      <c r="P44" s="12">
        <v>0</v>
      </c>
      <c r="Q44" s="12">
        <v>0.30899935348628627</v>
      </c>
      <c r="R44" s="12">
        <v>0</v>
      </c>
      <c r="S44" s="11">
        <v>0.57132873754733671</v>
      </c>
    </row>
    <row r="45" spans="1:19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223843</v>
      </c>
      <c r="K45" s="10">
        <v>388741.7</v>
      </c>
      <c r="L45" s="11">
        <v>0</v>
      </c>
      <c r="M45" s="11">
        <v>0.11276047823014616</v>
      </c>
      <c r="N45" s="12">
        <v>0</v>
      </c>
      <c r="O45" s="12">
        <v>0</v>
      </c>
      <c r="P45" s="12">
        <v>0</v>
      </c>
      <c r="Q45" s="12">
        <v>0.3114252985980151</v>
      </c>
      <c r="R45" s="12">
        <v>0</v>
      </c>
      <c r="S45" s="11">
        <v>0.57581422317183872</v>
      </c>
    </row>
    <row r="46" spans="1:19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223843</v>
      </c>
      <c r="K46" s="10">
        <v>385314.7</v>
      </c>
      <c r="L46" s="11">
        <v>0</v>
      </c>
      <c r="M46" s="11">
        <v>0.10486934446051503</v>
      </c>
      <c r="N46" s="12">
        <v>0</v>
      </c>
      <c r="O46" s="12">
        <v>0</v>
      </c>
      <c r="P46" s="12">
        <v>0</v>
      </c>
      <c r="Q46" s="12">
        <v>0.31419512414138362</v>
      </c>
      <c r="R46" s="12">
        <v>0</v>
      </c>
      <c r="S46" s="11">
        <v>0.58093553139810128</v>
      </c>
    </row>
    <row r="47" spans="1:19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223843</v>
      </c>
      <c r="K47" s="10">
        <v>383427.7</v>
      </c>
      <c r="L47" s="11">
        <v>0</v>
      </c>
      <c r="M47" s="11">
        <v>0.1004640509801457</v>
      </c>
      <c r="N47" s="12">
        <v>0</v>
      </c>
      <c r="O47" s="12">
        <v>0</v>
      </c>
      <c r="P47" s="12">
        <v>0</v>
      </c>
      <c r="Q47" s="12">
        <v>0.31574140313806226</v>
      </c>
      <c r="R47" s="12">
        <v>0</v>
      </c>
      <c r="S47" s="11">
        <v>0.58379454588179203</v>
      </c>
    </row>
    <row r="48" spans="1:19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223843</v>
      </c>
      <c r="K48" s="10">
        <v>381652.7</v>
      </c>
      <c r="L48" s="11">
        <v>0</v>
      </c>
      <c r="M48" s="11">
        <v>9.6280466507901064E-2</v>
      </c>
      <c r="N48" s="12">
        <v>0</v>
      </c>
      <c r="O48" s="12">
        <v>0</v>
      </c>
      <c r="P48" s="12">
        <v>0</v>
      </c>
      <c r="Q48" s="12">
        <v>0.31720986121675543</v>
      </c>
      <c r="R48" s="12">
        <v>0</v>
      </c>
      <c r="S48" s="11">
        <v>0.58650967227534356</v>
      </c>
    </row>
    <row r="49" spans="1:19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223843</v>
      </c>
      <c r="K49" s="10">
        <v>383198.7</v>
      </c>
      <c r="L49" s="11">
        <v>0</v>
      </c>
      <c r="M49" s="11">
        <v>9.9926487224513055E-2</v>
      </c>
      <c r="N49" s="12">
        <v>0</v>
      </c>
      <c r="O49" s="12">
        <v>0</v>
      </c>
      <c r="P49" s="12">
        <v>0</v>
      </c>
      <c r="Q49" s="12">
        <v>0.31593009057702959</v>
      </c>
      <c r="R49" s="12">
        <v>0</v>
      </c>
      <c r="S49" s="11">
        <v>0.58414342219845738</v>
      </c>
    </row>
    <row r="50" spans="1:19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223843</v>
      </c>
      <c r="K50" s="10">
        <v>384776.7</v>
      </c>
      <c r="L50" s="11">
        <v>0</v>
      </c>
      <c r="M50" s="11">
        <v>0.10361776063883289</v>
      </c>
      <c r="N50" s="12">
        <v>0</v>
      </c>
      <c r="O50" s="12">
        <v>0</v>
      </c>
      <c r="P50" s="12">
        <v>0</v>
      </c>
      <c r="Q50" s="12">
        <v>0.31463443602484248</v>
      </c>
      <c r="R50" s="12">
        <v>0</v>
      </c>
      <c r="S50" s="11">
        <v>0.5817478033363247</v>
      </c>
    </row>
    <row r="51" spans="1:19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14">
        <v>54051</v>
      </c>
      <c r="K51" s="10">
        <v>384909.7</v>
      </c>
      <c r="L51" s="11">
        <v>0</v>
      </c>
      <c r="M51" s="11">
        <v>6.342448631458239E-2</v>
      </c>
      <c r="N51" s="12">
        <v>0</v>
      </c>
      <c r="O51" s="12">
        <v>0</v>
      </c>
      <c r="P51" s="12">
        <v>0</v>
      </c>
      <c r="Q51" s="12">
        <v>0.31452571862959028</v>
      </c>
      <c r="R51" s="12">
        <v>0.48162465118442066</v>
      </c>
      <c r="S51" s="11">
        <v>0.14042514387140673</v>
      </c>
    </row>
    <row r="52" spans="1:19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14">
        <v>54051</v>
      </c>
      <c r="K52" s="10">
        <v>379686.7</v>
      </c>
      <c r="L52" s="11">
        <v>0</v>
      </c>
      <c r="M52" s="11">
        <v>5.0540880151977961E-2</v>
      </c>
      <c r="N52" s="12">
        <v>0</v>
      </c>
      <c r="O52" s="12">
        <v>0</v>
      </c>
      <c r="P52" s="12">
        <v>0</v>
      </c>
      <c r="Q52" s="12">
        <v>0.31885235906340675</v>
      </c>
      <c r="R52" s="12">
        <v>0.48824991762945608</v>
      </c>
      <c r="S52" s="11">
        <v>0.14235684315515923</v>
      </c>
    </row>
    <row r="53" spans="1:19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14">
        <v>218671</v>
      </c>
      <c r="K53" s="10">
        <f>SUM(C53:J53)</f>
        <v>676730</v>
      </c>
      <c r="L53" s="11">
        <v>0</v>
      </c>
      <c r="M53" s="11">
        <v>0</v>
      </c>
      <c r="N53" s="12">
        <v>0</v>
      </c>
      <c r="O53" s="12">
        <v>0</v>
      </c>
      <c r="P53" s="12">
        <f>G53/K53</f>
        <v>0.2699821199001079</v>
      </c>
      <c r="Q53" s="12">
        <f>H53/K53</f>
        <v>0.17889557135046474</v>
      </c>
      <c r="R53" s="12">
        <f>I53/K53</f>
        <v>0.22799343903772554</v>
      </c>
      <c r="S53" s="11">
        <f>J53/K53</f>
        <v>0.32312886971170185</v>
      </c>
    </row>
    <row r="54" spans="1:19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14">
        <v>218671</v>
      </c>
      <c r="K54" s="10">
        <v>494025</v>
      </c>
      <c r="L54" s="11">
        <v>0</v>
      </c>
      <c r="M54" s="11">
        <v>0</v>
      </c>
      <c r="N54" s="12">
        <v>0</v>
      </c>
      <c r="O54" s="12">
        <v>0</v>
      </c>
      <c r="P54" s="12">
        <v>0</v>
      </c>
      <c r="Q54" s="12">
        <v>0.24505642427002683</v>
      </c>
      <c r="R54" s="12">
        <v>0.31231212995293761</v>
      </c>
      <c r="S54" s="11">
        <v>0.44263144577703556</v>
      </c>
    </row>
    <row r="55" spans="1:19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14">
        <v>218671</v>
      </c>
      <c r="K55" s="10">
        <v>494025</v>
      </c>
      <c r="L55" s="11">
        <v>0</v>
      </c>
      <c r="M55" s="11">
        <v>0</v>
      </c>
      <c r="N55" s="12">
        <v>0</v>
      </c>
      <c r="O55" s="12">
        <v>0</v>
      </c>
      <c r="P55" s="12">
        <v>0</v>
      </c>
      <c r="Q55" s="12">
        <v>0.24505642427002683</v>
      </c>
      <c r="R55" s="12">
        <v>0.31231212995293761</v>
      </c>
      <c r="S55" s="11">
        <v>0.44263144577703556</v>
      </c>
    </row>
    <row r="56" spans="1:19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14">
        <v>218671</v>
      </c>
      <c r="K56" s="10">
        <v>494025</v>
      </c>
      <c r="L56" s="11">
        <v>0</v>
      </c>
      <c r="M56" s="11">
        <v>0</v>
      </c>
      <c r="N56" s="12">
        <v>0</v>
      </c>
      <c r="O56" s="12">
        <v>0</v>
      </c>
      <c r="P56" s="12">
        <v>0</v>
      </c>
      <c r="Q56" s="12">
        <v>0.24505642427002683</v>
      </c>
      <c r="R56" s="12">
        <v>0.31231212995293761</v>
      </c>
      <c r="S56" s="11">
        <v>0.44263144577703556</v>
      </c>
    </row>
    <row r="57" spans="1:19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14">
        <v>218671</v>
      </c>
      <c r="K57" s="10">
        <v>494025</v>
      </c>
      <c r="L57" s="11">
        <v>0</v>
      </c>
      <c r="M57" s="11">
        <v>0</v>
      </c>
      <c r="N57" s="12">
        <v>0</v>
      </c>
      <c r="O57" s="12">
        <v>0</v>
      </c>
      <c r="P57" s="12">
        <v>0</v>
      </c>
      <c r="Q57" s="12">
        <v>0.24505642427002683</v>
      </c>
      <c r="R57" s="12">
        <v>0.31231212995293761</v>
      </c>
      <c r="S57" s="11">
        <v>0.44263144577703556</v>
      </c>
    </row>
    <row r="58" spans="1:19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14">
        <v>218671</v>
      </c>
      <c r="K58" s="10">
        <v>494025</v>
      </c>
      <c r="L58" s="11">
        <v>0</v>
      </c>
      <c r="M58" s="11">
        <v>0</v>
      </c>
      <c r="N58" s="12">
        <v>0</v>
      </c>
      <c r="O58" s="12">
        <v>0</v>
      </c>
      <c r="P58" s="12">
        <v>0</v>
      </c>
      <c r="Q58" s="12">
        <v>0.24505642427002683</v>
      </c>
      <c r="R58" s="12">
        <v>0.31231212995293761</v>
      </c>
      <c r="S58" s="11">
        <v>0.44263144577703556</v>
      </c>
    </row>
    <row r="59" spans="1:19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14">
        <v>218671</v>
      </c>
      <c r="K59" s="10">
        <f>SUM(C59:J59)</f>
        <v>1945025</v>
      </c>
      <c r="L59" s="11">
        <v>0</v>
      </c>
      <c r="M59" s="11">
        <v>0</v>
      </c>
      <c r="N59" s="12">
        <v>0</v>
      </c>
      <c r="O59" s="12">
        <f>E59/K59</f>
        <v>0.7460058354005733</v>
      </c>
      <c r="P59" s="12">
        <v>0</v>
      </c>
      <c r="Q59" s="12">
        <f>H59/K59</f>
        <v>6.2242901762188149E-2</v>
      </c>
      <c r="R59" s="12">
        <f>I59/K59</f>
        <v>7.9325458541663993E-2</v>
      </c>
      <c r="S59" s="11">
        <f>J59/K59</f>
        <v>0.11242580429557461</v>
      </c>
    </row>
    <row r="60" spans="1:19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14">
        <v>218671</v>
      </c>
      <c r="K60" s="10">
        <v>930260</v>
      </c>
      <c r="L60" s="11">
        <v>0</v>
      </c>
      <c r="M60" s="11">
        <v>0</v>
      </c>
      <c r="N60" s="12">
        <v>0</v>
      </c>
      <c r="O60" s="12">
        <v>0.46893879130565647</v>
      </c>
      <c r="P60" s="12">
        <v>0</v>
      </c>
      <c r="Q60" s="12">
        <v>0.13013996087115431</v>
      </c>
      <c r="R60" s="12">
        <v>0.16585685722271193</v>
      </c>
      <c r="S60" s="11">
        <v>0.23506439060047729</v>
      </c>
    </row>
    <row r="61" spans="1:19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14">
        <v>218671</v>
      </c>
      <c r="K61" s="10">
        <f>SUM(C61:J61)</f>
        <v>1204798</v>
      </c>
      <c r="L61" s="11">
        <f>C61/K61</f>
        <v>0.11067249447625245</v>
      </c>
      <c r="M61" s="11">
        <v>0</v>
      </c>
      <c r="N61" s="12">
        <f>F61/K61</f>
        <v>0.11719806971791122</v>
      </c>
      <c r="O61" s="12">
        <f>E61/K61</f>
        <v>0.36208144435830736</v>
      </c>
      <c r="P61" s="12">
        <v>0</v>
      </c>
      <c r="Q61" s="12">
        <f>H61/K61</f>
        <v>0.10048489456323799</v>
      </c>
      <c r="R61" s="12">
        <f>I61/K61</f>
        <v>0.12806296159190173</v>
      </c>
      <c r="S61" s="11">
        <f>J61/K61</f>
        <v>0.18150013529238926</v>
      </c>
    </row>
    <row r="62" spans="1:19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14">
        <v>54671</v>
      </c>
      <c r="K62" s="10">
        <v>396282.31</v>
      </c>
      <c r="L62" s="11">
        <v>0</v>
      </c>
      <c r="M62" s="11">
        <v>0.86204027123996529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1">
        <v>0.13795972876003473</v>
      </c>
    </row>
    <row r="63" spans="1:19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14">
        <v>54671</v>
      </c>
      <c r="K63" s="10">
        <v>395802.31</v>
      </c>
      <c r="L63" s="11">
        <v>0</v>
      </c>
      <c r="M63" s="11">
        <v>0.86187296380357159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1">
        <v>0.13812703619642847</v>
      </c>
    </row>
    <row r="64" spans="1:19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14">
        <v>54671</v>
      </c>
      <c r="K64" s="10">
        <v>396617.31</v>
      </c>
      <c r="L64" s="11">
        <v>0</v>
      </c>
      <c r="M64" s="11">
        <v>0.8621567979471193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1">
        <v>0.13784320205288064</v>
      </c>
    </row>
    <row r="65" spans="1:19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14">
        <v>54671</v>
      </c>
      <c r="K65" s="10">
        <v>396917.31</v>
      </c>
      <c r="L65" s="11">
        <v>0</v>
      </c>
      <c r="M65" s="11">
        <v>0.86226098327634038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1">
        <v>0.13773901672365965</v>
      </c>
    </row>
    <row r="66" spans="1:19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14">
        <v>54671</v>
      </c>
      <c r="K66" s="10">
        <v>399269.72</v>
      </c>
      <c r="L66" s="11">
        <v>0.14977093679931452</v>
      </c>
      <c r="M66" s="11">
        <v>0.71330157468490218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1">
        <v>0.13692748851578326</v>
      </c>
    </row>
    <row r="67" spans="1:19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14">
        <v>54671</v>
      </c>
      <c r="K67" s="10">
        <v>926093</v>
      </c>
      <c r="L67" s="11">
        <v>0.94096597209999433</v>
      </c>
      <c r="M67" s="11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1">
        <v>5.9034027900005726E-2</v>
      </c>
    </row>
    <row r="68" spans="1:19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14">
        <v>54671</v>
      </c>
      <c r="K68" s="10">
        <v>794093</v>
      </c>
      <c r="L68" s="11">
        <v>0.93115290022705144</v>
      </c>
      <c r="M68" s="11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1">
        <v>6.8847099772948506E-2</v>
      </c>
    </row>
    <row r="69" spans="1:19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14">
        <v>0</v>
      </c>
      <c r="K69" s="10">
        <f>SUM(C69:J69)</f>
        <v>407651</v>
      </c>
      <c r="L69" s="11">
        <v>0.25051515991027662</v>
      </c>
      <c r="M69" s="11">
        <v>0.74948484008972338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1">
        <v>0</v>
      </c>
    </row>
    <row r="70" spans="1:19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14">
        <v>0</v>
      </c>
      <c r="K70" s="10">
        <f>SUM(C70:J70)</f>
        <v>408551</v>
      </c>
      <c r="L70" s="11">
        <f>C70/K70</f>
        <v>0.24736201845057287</v>
      </c>
      <c r="M70" s="11">
        <f>D70/K70</f>
        <v>0.75263798154942707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1">
        <v>0</v>
      </c>
    </row>
    <row r="71" spans="1:19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14">
        <v>0</v>
      </c>
      <c r="K71" s="10">
        <f>SUM(C71:J71)</f>
        <v>408551</v>
      </c>
      <c r="L71" s="11">
        <f>C71/K71</f>
        <v>0.24736201845057287</v>
      </c>
      <c r="M71" s="11">
        <f>D71/K71</f>
        <v>0.75263798154942707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1">
        <v>0</v>
      </c>
    </row>
    <row r="72" spans="1:19" x14ac:dyDescent="0.25">
      <c r="A72" s="6">
        <v>46273</v>
      </c>
      <c r="B72" s="7">
        <v>408551</v>
      </c>
      <c r="C72" s="15">
        <v>101060</v>
      </c>
      <c r="D72" s="9">
        <f>B72-C72</f>
        <v>307491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14">
        <v>0</v>
      </c>
      <c r="K72" s="10">
        <f>SUM(C72:J72)</f>
        <v>408551</v>
      </c>
      <c r="L72" s="11">
        <f>C72/K72</f>
        <v>0.24736201845057287</v>
      </c>
      <c r="M72" s="11">
        <f>D72/K72</f>
        <v>0.75263798154942707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1">
        <v>0</v>
      </c>
    </row>
    <row r="73" spans="1:19" x14ac:dyDescent="0.25">
      <c r="A73" s="6">
        <v>46273</v>
      </c>
      <c r="B73" s="7">
        <v>408551</v>
      </c>
      <c r="C73" s="15">
        <v>184986</v>
      </c>
      <c r="D73" s="9">
        <f>B73-C73</f>
        <v>223565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14">
        <v>0</v>
      </c>
      <c r="K73" s="10">
        <f>SUM(C73:J73)</f>
        <v>408551</v>
      </c>
      <c r="L73" s="11">
        <f>C73/K73</f>
        <v>0.45278557634175415</v>
      </c>
      <c r="M73" s="11">
        <f>D73/K73</f>
        <v>0.5472144236582458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1">
        <v>0</v>
      </c>
    </row>
    <row r="1048543" spans="1:1" x14ac:dyDescent="0.25">
      <c r="A1048543" s="6"/>
    </row>
  </sheetData>
  <conditionalFormatting sqref="L2:S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2026-09-09T20:47:03Z</dcterms:modified>
  <cp:category/>
  <cp:contentStatus/>
</cp:coreProperties>
</file>