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bookmonitor_serve/"/>
    </mc:Choice>
  </mc:AlternateContent>
  <xr:revisionPtr revIDLastSave="0" documentId="13_ncr:1_{83DA667A-55D7-214D-8908-D54ADC20854C}" xr6:coauthVersionLast="47" xr6:coauthVersionMax="47" xr10:uidLastSave="{00000000-0000-0000-0000-000000000000}"/>
  <bookViews>
    <workbookView xWindow="5180" yWindow="-39780" windowWidth="46820" windowHeight="33400" xr2:uid="{00000000-000D-0000-FFFF-FFFF00000000}"/>
  </bookViews>
  <sheets>
    <sheet name="Trades" sheetId="1" r:id="rId1"/>
    <sheet name="Daily PnL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" i="3" l="1" a="1"/>
  <c r="H7" i="3" s="1"/>
  <c r="H6" i="3" a="1"/>
  <c r="H6" i="3" s="1"/>
  <c r="H5" i="3"/>
  <c r="H3" i="3"/>
  <c r="H2" i="3"/>
  <c r="D60" i="3"/>
  <c r="C60" i="3"/>
  <c r="B60" i="3"/>
  <c r="U36" i="1"/>
  <c r="C32" i="1"/>
  <c r="B32" i="1"/>
  <c r="T36" i="1"/>
  <c r="C31" i="1"/>
  <c r="B31" i="1"/>
  <c r="C30" i="1"/>
  <c r="B30" i="1"/>
  <c r="C29" i="1"/>
  <c r="B29" i="1"/>
  <c r="R12" i="1"/>
  <c r="R28" i="1"/>
  <c r="D59" i="3"/>
  <c r="C59" i="3"/>
  <c r="B59" i="3"/>
  <c r="C28" i="1"/>
  <c r="D28" i="1" s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R26" i="1"/>
  <c r="D22" i="1"/>
  <c r="R22" i="1"/>
  <c r="R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R27" i="1"/>
  <c r="C26" i="1"/>
  <c r="D26" i="1" s="1"/>
  <c r="R25" i="1" l="1"/>
  <c r="R14" i="1"/>
  <c r="D25" i="1"/>
  <c r="R20" i="1"/>
  <c r="C19" i="1"/>
  <c r="D14" i="1"/>
  <c r="C12" i="1"/>
  <c r="D12" i="1" s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C20" i="1"/>
  <c r="D20" i="1" s="1"/>
  <c r="R23" i="1"/>
  <c r="D23" i="1"/>
  <c r="D21" i="1"/>
  <c r="D19" i="1"/>
  <c r="N18" i="1"/>
  <c r="N17" i="1"/>
  <c r="N16" i="1"/>
  <c r="N15" i="1"/>
  <c r="N13" i="1"/>
  <c r="N11" i="1"/>
  <c r="N10" i="1"/>
  <c r="N9" i="1"/>
  <c r="N8" i="1"/>
  <c r="N7" i="1"/>
  <c r="N6" i="1"/>
  <c r="N5" i="1"/>
  <c r="N4" i="1"/>
  <c r="N3" i="1"/>
  <c r="N2" i="1"/>
  <c r="R18" i="1"/>
  <c r="R17" i="1"/>
  <c r="D18" i="1"/>
  <c r="D17" i="1"/>
  <c r="R11" i="1"/>
  <c r="R4" i="1"/>
  <c r="R6" i="1"/>
  <c r="R15" i="1"/>
  <c r="D15" i="1"/>
  <c r="R7" i="1"/>
  <c r="D7" i="1"/>
  <c r="R8" i="1"/>
  <c r="D8" i="1"/>
  <c r="D5" i="1"/>
  <c r="D2" i="1"/>
  <c r="D13" i="1"/>
  <c r="D16" i="1"/>
  <c r="D3" i="1"/>
  <c r="D9" i="1"/>
  <c r="R5" i="1"/>
  <c r="R2" i="1"/>
  <c r="R13" i="1"/>
  <c r="R16" i="1"/>
  <c r="R3" i="1"/>
  <c r="R10" i="1"/>
  <c r="R9" i="1"/>
  <c r="E37" i="1" l="1"/>
  <c r="T39" i="1"/>
  <c r="T45" i="1" s="1"/>
  <c r="E36" i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H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<sst xmlns="http://schemas.openxmlformats.org/spreadsheetml/2006/main" count="253" uniqueCount="120">
  <si>
    <t>Entry Date</t>
  </si>
  <si>
    <t>Exit Date</t>
  </si>
  <si>
    <t>Holding Period</t>
  </si>
  <si>
    <t>Symbol</t>
  </si>
  <si>
    <t>Quantity</t>
  </si>
  <si>
    <t>Entry Price</t>
  </si>
  <si>
    <t>Exit Price</t>
  </si>
  <si>
    <t>Notional</t>
  </si>
  <si>
    <t>Comm</t>
  </si>
  <si>
    <t>Winning</t>
  </si>
  <si>
    <t>Move Captured</t>
  </si>
  <si>
    <t>Leg PnL</t>
  </si>
  <si>
    <t>Trade ID</t>
  </si>
  <si>
    <t>Trade Type</t>
  </si>
  <si>
    <t>Trade PnL</t>
  </si>
  <si>
    <t>MU</t>
  </si>
  <si>
    <t>Directional</t>
  </si>
  <si>
    <t>JPM</t>
  </si>
  <si>
    <t>IWD</t>
  </si>
  <si>
    <t>IWF</t>
  </si>
  <si>
    <t>KRE</t>
  </si>
  <si>
    <t>OPEN</t>
  </si>
  <si>
    <t>META</t>
  </si>
  <si>
    <t>LLY</t>
  </si>
  <si>
    <t>SPCX</t>
  </si>
  <si>
    <t>AAPL</t>
  </si>
  <si>
    <t>RV</t>
  </si>
  <si>
    <t>IB_TICKER</t>
  </si>
  <si>
    <t>SIQ6</t>
  </si>
  <si>
    <t>EUR</t>
  </si>
  <si>
    <t>QIQ6</t>
  </si>
  <si>
    <t>CCU6</t>
  </si>
  <si>
    <t>SFU6</t>
  </si>
  <si>
    <t>QOQ6</t>
  </si>
  <si>
    <t>VXMU6</t>
  </si>
  <si>
    <t>KCU6</t>
  </si>
  <si>
    <t>Last Price</t>
  </si>
  <si>
    <t>EFA</t>
  </si>
  <si>
    <t>Instrument Name</t>
  </si>
  <si>
    <t>Micron Technologies</t>
  </si>
  <si>
    <t>JP Morgan</t>
  </si>
  <si>
    <t>Silver Futures</t>
  </si>
  <si>
    <t>Euro Futures</t>
  </si>
  <si>
    <t>Silver Futures Mini</t>
  </si>
  <si>
    <t>Cocoa Futures</t>
  </si>
  <si>
    <t>Swiss Franc Futures</t>
  </si>
  <si>
    <t>iShares Russell 1000 Value ETF</t>
  </si>
  <si>
    <t>iShares Russell 1000 Growth ETF</t>
  </si>
  <si>
    <t>Gold Futures</t>
  </si>
  <si>
    <t>State Street S&amp;P Regional Banking ETF</t>
  </si>
  <si>
    <t>Meta</t>
  </si>
  <si>
    <t>Vix Futures Mini</t>
  </si>
  <si>
    <t>SpaceX</t>
  </si>
  <si>
    <t>Apple</t>
  </si>
  <si>
    <t>iShares MSCI Mid-Cap Developed Mkt Equities ETF</t>
  </si>
  <si>
    <t>TLT</t>
  </si>
  <si>
    <t>RV Theme</t>
  </si>
  <si>
    <t>NA</t>
  </si>
  <si>
    <t>iShares 20+ Year Treasury Bond ETF</t>
  </si>
  <si>
    <t>MES</t>
  </si>
  <si>
    <t>Micro S&amp;P Futures</t>
  </si>
  <si>
    <t>Sugar Futures</t>
  </si>
  <si>
    <t>Coffee Futures</t>
  </si>
  <si>
    <t>SBV6</t>
  </si>
  <si>
    <t>S&amp;P Industrials Sector Futures</t>
  </si>
  <si>
    <t>XAIU6</t>
  </si>
  <si>
    <t>Long Silver / Short Gold</t>
  </si>
  <si>
    <t>Long Value / Short Growth Stocks</t>
  </si>
  <si>
    <t>Long Bonds(Long End) / Short Equities</t>
  </si>
  <si>
    <t>Asset Class</t>
  </si>
  <si>
    <t>Equities</t>
  </si>
  <si>
    <t>Futures</t>
  </si>
  <si>
    <t>ETFs</t>
  </si>
  <si>
    <t xml:space="preserve">SI </t>
  </si>
  <si>
    <t>QI</t>
  </si>
  <si>
    <t>CC</t>
  </si>
  <si>
    <t>SF</t>
  </si>
  <si>
    <t>QO</t>
  </si>
  <si>
    <t>VXM</t>
  </si>
  <si>
    <t>KC</t>
  </si>
  <si>
    <t>XAI</t>
  </si>
  <si>
    <t>SB</t>
  </si>
  <si>
    <t>Eli Lilly &amp; Co</t>
  </si>
  <si>
    <t>Date</t>
  </si>
  <si>
    <t>Account Balance</t>
  </si>
  <si>
    <t>Mean daily PnL</t>
  </si>
  <si>
    <t>PnL</t>
  </si>
  <si>
    <t>Daily PnL std</t>
  </si>
  <si>
    <t>Ann. Sharpe</t>
  </si>
  <si>
    <t>6EU6</t>
  </si>
  <si>
    <t>Unrealized</t>
  </si>
  <si>
    <t>Total Unrealized</t>
  </si>
  <si>
    <t>Total Realized</t>
  </si>
  <si>
    <t>Starting Account Balance</t>
  </si>
  <si>
    <t>RoC</t>
  </si>
  <si>
    <t>Net PnL</t>
  </si>
  <si>
    <t>CAD</t>
  </si>
  <si>
    <t>Canadian Dollar Futures</t>
  </si>
  <si>
    <t>6CU6</t>
  </si>
  <si>
    <t>Avg Holding Period for Daily + Weekly Signals:</t>
  </si>
  <si>
    <t>Avg Holding Period for Daily/Weekly/Monthly Signals:</t>
  </si>
  <si>
    <t>NEM</t>
  </si>
  <si>
    <t>MGC</t>
  </si>
  <si>
    <t>Gold Micro</t>
  </si>
  <si>
    <t>MGCZ6</t>
  </si>
  <si>
    <t>Newmont Corporation</t>
  </si>
  <si>
    <t>Return</t>
  </si>
  <si>
    <t>Ann. Volatility</t>
  </si>
  <si>
    <t>SLB</t>
  </si>
  <si>
    <t>SLB Limited</t>
  </si>
  <si>
    <t>Ann. Return</t>
  </si>
  <si>
    <t>Cumulative Return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</si>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</sst>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7" formatCode="0.0000"/>
  </numFmts>
  <fonts count="6" x14ac:knownFonts="1">
    <font>
      <sz val="11"/>
      <color theme="1"/>
      <name val="Calibri"/>
      <family val="2"/>
      <scheme val="minor"/>
    </font>
    <font>
      <sz val="12"/>
      <color rgb="FF000000"/>
      <name val="Calibri (Body)"/>
    </font>
    <font>
      <sz val="12"/>
      <color theme="1"/>
      <name val="Calibri (Body)"/>
    </font>
    <font>
      <sz val="12"/>
      <color rgb="FFFFC000"/>
      <name val="Calibri"/>
      <family val="2"/>
      <scheme val="minor"/>
    </font>
    <font>
      <sz val="12"/>
      <color theme="2"/>
      <name val="Calibri"/>
      <family val="2"/>
      <scheme val="minor"/>
    </font>
    <font>
      <sz val="12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3" fillId="4" borderId="0" xfId="0" applyNumberFormat="1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3" fontId="2" fillId="2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14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1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right"/>
    </xf>
    <xf numFmtId="3" fontId="5" fillId="3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0" fontId="0" fillId="0" borderId="0" xfId="0" applyNumberFormat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3" fontId="2" fillId="6" borderId="0" xfId="0" applyNumberFormat="1" applyFont="1" applyFill="1" applyAlignment="1">
      <alignment horizontal="center"/>
    </xf>
    <xf numFmtId="10" fontId="1" fillId="6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3" fontId="2" fillId="5" borderId="0" xfId="0" applyNumberFormat="1" applyFont="1" applyFill="1" applyAlignment="1">
      <alignment horizontal="center"/>
    </xf>
    <xf numFmtId="10" fontId="1" fillId="5" borderId="0" xfId="0" applyNumberFormat="1" applyFont="1" applyFill="1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5"/>
  <sheetViews>
    <sheetView tabSelected="1" zoomScale="150" zoomScaleNormal="150" workbookViewId="0">
      <selection activeCell="F45" sqref="F45"/>
    </sheetView>
  </sheetViews>
  <sheetFormatPr baseColWidth="10" defaultColWidth="9.1640625" defaultRowHeight="16" x14ac:dyDescent="0.2"/>
  <cols>
    <col min="1" max="1" width="8" style="4" bestFit="1" customWidth="1"/>
    <col min="2" max="3" width="11.83203125" style="6" bestFit="1" customWidth="1"/>
    <col min="4" max="4" width="13" style="7" bestFit="1" customWidth="1"/>
    <col min="5" max="5" width="7.1640625" style="4" bestFit="1" customWidth="1"/>
    <col min="6" max="6" width="43.33203125" style="4" bestFit="1" customWidth="1"/>
    <col min="7" max="7" width="11.5" style="4" bestFit="1" customWidth="1"/>
    <col min="8" max="8" width="31.5" style="4" bestFit="1" customWidth="1"/>
    <col min="9" max="9" width="10.33203125" style="4" bestFit="1" customWidth="1"/>
    <col min="10" max="10" width="9.5" style="4" bestFit="1" customWidth="1"/>
    <col min="11" max="11" width="9.33203125" style="4" bestFit="1" customWidth="1"/>
    <col min="12" max="12" width="11.1640625" style="4" bestFit="1" customWidth="1"/>
    <col min="13" max="13" width="10.33203125" style="4" bestFit="1" customWidth="1"/>
    <col min="14" max="14" width="10.33203125" style="4" customWidth="1"/>
    <col min="15" max="15" width="11.5" style="4" bestFit="1" customWidth="1"/>
    <col min="16" max="16" width="7.33203125" style="4" bestFit="1" customWidth="1"/>
    <col min="17" max="17" width="8" style="4" bestFit="1" customWidth="1"/>
    <col min="18" max="18" width="13.5" style="4" bestFit="1" customWidth="1"/>
    <col min="19" max="19" width="9.83203125" style="4" bestFit="1" customWidth="1"/>
    <col min="20" max="20" width="12.83203125" style="4" bestFit="1" customWidth="1"/>
    <col min="21" max="21" width="14.6640625" style="4" bestFit="1" customWidth="1"/>
    <col min="22" max="16384" width="9.1640625" style="4"/>
  </cols>
  <sheetData>
    <row r="1" spans="1:21" s="10" customFormat="1" x14ac:dyDescent="0.2">
      <c r="A1" s="10" t="s">
        <v>12</v>
      </c>
      <c r="B1" s="8" t="s">
        <v>0</v>
      </c>
      <c r="C1" s="8" t="s">
        <v>1</v>
      </c>
      <c r="D1" s="9" t="s">
        <v>2</v>
      </c>
      <c r="E1" s="10" t="s">
        <v>3</v>
      </c>
      <c r="F1" s="10" t="s">
        <v>38</v>
      </c>
      <c r="G1" s="10" t="s">
        <v>13</v>
      </c>
      <c r="H1" s="10" t="s">
        <v>56</v>
      </c>
      <c r="I1" s="10" t="s">
        <v>69</v>
      </c>
      <c r="J1" s="10" t="s">
        <v>27</v>
      </c>
      <c r="K1" s="10" t="s">
        <v>4</v>
      </c>
      <c r="L1" s="10" t="s">
        <v>5</v>
      </c>
      <c r="M1" s="10" t="s">
        <v>6</v>
      </c>
      <c r="N1" s="10" t="s">
        <v>36</v>
      </c>
      <c r="O1" s="10" t="s">
        <v>7</v>
      </c>
      <c r="P1" s="10" t="s">
        <v>8</v>
      </c>
      <c r="Q1" s="10" t="s">
        <v>9</v>
      </c>
      <c r="R1" s="10" t="s">
        <v>10</v>
      </c>
      <c r="S1" s="10" t="s">
        <v>11</v>
      </c>
      <c r="T1" s="10" t="s">
        <v>14</v>
      </c>
      <c r="U1" s="10" t="s">
        <v>90</v>
      </c>
    </row>
    <row r="2" spans="1:21" x14ac:dyDescent="0.2">
      <c r="A2" s="4">
        <v>1</v>
      </c>
      <c r="B2" s="1">
        <v>46175</v>
      </c>
      <c r="C2" s="1">
        <v>46181</v>
      </c>
      <c r="D2" s="2">
        <f t="shared" ref="D2:D25" si="0">C2-B2</f>
        <v>6</v>
      </c>
      <c r="E2" s="4" t="s">
        <v>15</v>
      </c>
      <c r="F2" s="11" t="s">
        <v>39</v>
      </c>
      <c r="G2" s="3" t="s">
        <v>16</v>
      </c>
      <c r="H2" s="12" t="s">
        <v>57</v>
      </c>
      <c r="I2" s="3" t="s">
        <v>70</v>
      </c>
      <c r="J2" s="4" t="s">
        <v>15</v>
      </c>
      <c r="K2" s="4">
        <v>-100</v>
      </c>
      <c r="L2" s="4">
        <v>1057.1199999999999</v>
      </c>
      <c r="M2" s="4">
        <v>941.37</v>
      </c>
      <c r="N2" s="4">
        <f t="shared" ref="N2:N11" si="1">M2</f>
        <v>941.37</v>
      </c>
      <c r="O2" s="16">
        <v>105712</v>
      </c>
      <c r="P2" s="4">
        <v>2.94</v>
      </c>
      <c r="Q2" s="4">
        <v>1</v>
      </c>
      <c r="R2" s="5">
        <f t="shared" ref="R2:R12" si="2">IF(Q2=1, ABS(M2-L2)/L2, 0)</f>
        <v>0.10949561071590727</v>
      </c>
      <c r="S2" s="4">
        <v>11575</v>
      </c>
      <c r="T2" s="13">
        <v>11575</v>
      </c>
    </row>
    <row r="3" spans="1:21" x14ac:dyDescent="0.2">
      <c r="A3" s="3">
        <v>2</v>
      </c>
      <c r="B3" s="1">
        <v>46177</v>
      </c>
      <c r="C3" s="1">
        <v>46185</v>
      </c>
      <c r="D3" s="2">
        <f t="shared" si="0"/>
        <v>8</v>
      </c>
      <c r="E3" s="3" t="s">
        <v>17</v>
      </c>
      <c r="F3" s="12" t="s">
        <v>40</v>
      </c>
      <c r="G3" s="3" t="s">
        <v>16</v>
      </c>
      <c r="H3" s="12" t="s">
        <v>57</v>
      </c>
      <c r="I3" s="3" t="s">
        <v>70</v>
      </c>
      <c r="J3" s="3" t="s">
        <v>17</v>
      </c>
      <c r="K3" s="3">
        <v>-450</v>
      </c>
      <c r="L3" s="3">
        <v>308.14999999999998</v>
      </c>
      <c r="M3" s="3">
        <v>317.27260000000001</v>
      </c>
      <c r="N3" s="4">
        <f t="shared" si="1"/>
        <v>317.27260000000001</v>
      </c>
      <c r="O3" s="17">
        <v>138667.5</v>
      </c>
      <c r="P3" s="3">
        <v>-7.92</v>
      </c>
      <c r="Q3" s="3">
        <v>0</v>
      </c>
      <c r="R3" s="5">
        <f t="shared" si="2"/>
        <v>0</v>
      </c>
      <c r="S3" s="3">
        <v>-4105.18</v>
      </c>
      <c r="T3" s="14">
        <v>-4105.18</v>
      </c>
    </row>
    <row r="4" spans="1:21" x14ac:dyDescent="0.2">
      <c r="A4" s="4">
        <v>3</v>
      </c>
      <c r="B4" s="1">
        <v>46178</v>
      </c>
      <c r="C4" s="1">
        <v>46183</v>
      </c>
      <c r="D4" s="2">
        <v>20</v>
      </c>
      <c r="E4" s="4" t="s">
        <v>73</v>
      </c>
      <c r="F4" s="11" t="s">
        <v>41</v>
      </c>
      <c r="G4" s="4" t="s">
        <v>26</v>
      </c>
      <c r="H4" s="11" t="s">
        <v>66</v>
      </c>
      <c r="I4" s="4" t="s">
        <v>71</v>
      </c>
      <c r="J4" s="4" t="s">
        <v>28</v>
      </c>
      <c r="K4" s="4">
        <v>2</v>
      </c>
      <c r="L4" s="4">
        <v>66.334999999999994</v>
      </c>
      <c r="M4" s="4">
        <v>63</v>
      </c>
      <c r="N4" s="4">
        <f t="shared" si="1"/>
        <v>63</v>
      </c>
      <c r="O4" s="16">
        <v>663350</v>
      </c>
      <c r="P4" s="4">
        <v>10.08</v>
      </c>
      <c r="Q4" s="4">
        <v>1</v>
      </c>
      <c r="R4" s="5">
        <f t="shared" si="2"/>
        <v>5.0275118715610072E-2</v>
      </c>
      <c r="S4" s="4">
        <v>-33350</v>
      </c>
      <c r="T4" s="13">
        <v>0</v>
      </c>
    </row>
    <row r="5" spans="1:21" x14ac:dyDescent="0.2">
      <c r="A5" s="4">
        <v>4</v>
      </c>
      <c r="B5" s="1">
        <v>46181</v>
      </c>
      <c r="C5" s="1">
        <v>46182</v>
      </c>
      <c r="D5" s="2">
        <f t="shared" si="0"/>
        <v>1</v>
      </c>
      <c r="E5" s="4" t="s">
        <v>29</v>
      </c>
      <c r="F5" s="11" t="s">
        <v>42</v>
      </c>
      <c r="G5" s="3" t="s">
        <v>16</v>
      </c>
      <c r="H5" s="12" t="s">
        <v>57</v>
      </c>
      <c r="I5" s="4" t="s">
        <v>71</v>
      </c>
      <c r="J5" s="4" t="s">
        <v>29</v>
      </c>
      <c r="K5" s="4">
        <v>10</v>
      </c>
      <c r="L5" s="4">
        <v>1.1535</v>
      </c>
      <c r="M5" s="4">
        <v>1.1579600000000001</v>
      </c>
      <c r="N5" s="4">
        <f t="shared" si="1"/>
        <v>1.1579600000000001</v>
      </c>
      <c r="O5" s="16">
        <v>2894900</v>
      </c>
      <c r="P5" s="4">
        <v>-98.8</v>
      </c>
      <c r="Q5" s="4">
        <v>1</v>
      </c>
      <c r="R5" s="5">
        <f t="shared" si="2"/>
        <v>3.8664932813178418E-3</v>
      </c>
      <c r="S5" s="4">
        <v>11150</v>
      </c>
      <c r="T5" s="13">
        <v>11150</v>
      </c>
    </row>
    <row r="6" spans="1:21" x14ac:dyDescent="0.2">
      <c r="A6" s="4">
        <v>3</v>
      </c>
      <c r="B6" s="1">
        <v>46183</v>
      </c>
      <c r="C6" s="1">
        <v>46203</v>
      </c>
      <c r="D6" s="2">
        <v>0</v>
      </c>
      <c r="E6" s="4" t="s">
        <v>74</v>
      </c>
      <c r="F6" s="11" t="s">
        <v>43</v>
      </c>
      <c r="G6" s="4" t="s">
        <v>26</v>
      </c>
      <c r="H6" s="11" t="s">
        <v>66</v>
      </c>
      <c r="I6" s="4" t="s">
        <v>71</v>
      </c>
      <c r="J6" s="4" t="s">
        <v>30</v>
      </c>
      <c r="K6" s="4">
        <v>3</v>
      </c>
      <c r="L6" s="4">
        <v>61.529200000000003</v>
      </c>
      <c r="M6" s="4">
        <v>66.92</v>
      </c>
      <c r="N6" s="4">
        <f t="shared" si="1"/>
        <v>66.92</v>
      </c>
      <c r="O6" s="16">
        <v>461468.75</v>
      </c>
      <c r="P6" s="4">
        <v>14.22</v>
      </c>
      <c r="Q6" s="4">
        <v>1</v>
      </c>
      <c r="R6" s="5">
        <f t="shared" si="2"/>
        <v>8.761368585972186E-2</v>
      </c>
      <c r="S6" s="4">
        <v>40406.25</v>
      </c>
      <c r="T6" s="13">
        <v>6343</v>
      </c>
    </row>
    <row r="7" spans="1:21" x14ac:dyDescent="0.2">
      <c r="A7" s="4">
        <v>5</v>
      </c>
      <c r="B7" s="1">
        <v>46190</v>
      </c>
      <c r="C7" s="1">
        <v>46195</v>
      </c>
      <c r="D7" s="2">
        <f t="shared" si="0"/>
        <v>5</v>
      </c>
      <c r="E7" s="4" t="s">
        <v>75</v>
      </c>
      <c r="F7" s="11" t="s">
        <v>44</v>
      </c>
      <c r="G7" s="3" t="s">
        <v>16</v>
      </c>
      <c r="H7" s="12" t="s">
        <v>57</v>
      </c>
      <c r="I7" s="4" t="s">
        <v>71</v>
      </c>
      <c r="J7" s="4" t="s">
        <v>31</v>
      </c>
      <c r="K7" s="4">
        <v>-3</v>
      </c>
      <c r="L7" s="4">
        <v>4374.66</v>
      </c>
      <c r="M7" s="4">
        <v>4575</v>
      </c>
      <c r="N7" s="4">
        <f t="shared" si="1"/>
        <v>4575</v>
      </c>
      <c r="O7" s="16">
        <v>131240</v>
      </c>
      <c r="P7" s="4">
        <v>17.82</v>
      </c>
      <c r="Q7" s="4">
        <v>0</v>
      </c>
      <c r="R7" s="5">
        <f t="shared" si="2"/>
        <v>0</v>
      </c>
      <c r="S7" s="4">
        <v>-6010</v>
      </c>
      <c r="T7" s="14">
        <v>-6010</v>
      </c>
    </row>
    <row r="8" spans="1:21" x14ac:dyDescent="0.2">
      <c r="A8" s="4">
        <v>6</v>
      </c>
      <c r="B8" s="1">
        <v>46194</v>
      </c>
      <c r="C8" s="1">
        <v>46205</v>
      </c>
      <c r="D8" s="2">
        <f t="shared" si="0"/>
        <v>11</v>
      </c>
      <c r="E8" s="4" t="s">
        <v>76</v>
      </c>
      <c r="F8" s="11" t="s">
        <v>45</v>
      </c>
      <c r="G8" s="3" t="s">
        <v>16</v>
      </c>
      <c r="H8" s="12" t="s">
        <v>57</v>
      </c>
      <c r="I8" s="4" t="s">
        <v>71</v>
      </c>
      <c r="J8" s="4" t="s">
        <v>32</v>
      </c>
      <c r="K8" s="4">
        <v>20</v>
      </c>
      <c r="L8" s="4">
        <v>1.2499125</v>
      </c>
      <c r="M8" s="4">
        <v>1.2517849999999999</v>
      </c>
      <c r="N8" s="4">
        <f t="shared" si="1"/>
        <v>1.2517849999999999</v>
      </c>
      <c r="O8" s="16">
        <v>3124781</v>
      </c>
      <c r="P8" s="4">
        <v>98.8</v>
      </c>
      <c r="Q8" s="4">
        <v>1</v>
      </c>
      <c r="R8" s="5">
        <f t="shared" si="2"/>
        <v>1.4981048673406688E-3</v>
      </c>
      <c r="S8" s="4">
        <v>4681.25</v>
      </c>
      <c r="T8" s="13">
        <v>4681.25</v>
      </c>
    </row>
    <row r="9" spans="1:21" x14ac:dyDescent="0.2">
      <c r="A9" s="3">
        <v>7</v>
      </c>
      <c r="B9" s="1">
        <v>46197</v>
      </c>
      <c r="C9" s="1">
        <v>46203</v>
      </c>
      <c r="D9" s="2">
        <f t="shared" si="0"/>
        <v>6</v>
      </c>
      <c r="E9" s="3" t="s">
        <v>18</v>
      </c>
      <c r="F9" s="12" t="s">
        <v>46</v>
      </c>
      <c r="G9" s="3" t="s">
        <v>26</v>
      </c>
      <c r="H9" s="12" t="s">
        <v>67</v>
      </c>
      <c r="I9" s="3" t="s">
        <v>72</v>
      </c>
      <c r="J9" s="3" t="s">
        <v>18</v>
      </c>
      <c r="K9" s="3">
        <v>400</v>
      </c>
      <c r="L9" s="3">
        <v>241.2475</v>
      </c>
      <c r="M9" s="3">
        <v>242.61</v>
      </c>
      <c r="N9" s="4">
        <f t="shared" si="1"/>
        <v>242.61</v>
      </c>
      <c r="O9" s="17">
        <v>96499</v>
      </c>
      <c r="P9" s="3">
        <v>7.43</v>
      </c>
      <c r="Q9" s="3">
        <v>1</v>
      </c>
      <c r="R9" s="5">
        <f t="shared" si="2"/>
        <v>5.6477269194499897E-3</v>
      </c>
      <c r="S9" s="3">
        <v>-545</v>
      </c>
      <c r="T9" s="15">
        <v>0</v>
      </c>
    </row>
    <row r="10" spans="1:21" x14ac:dyDescent="0.2">
      <c r="A10" s="3">
        <v>7</v>
      </c>
      <c r="B10" s="1">
        <v>46197</v>
      </c>
      <c r="C10" s="1">
        <v>46203</v>
      </c>
      <c r="D10" s="2">
        <v>0</v>
      </c>
      <c r="E10" s="3" t="s">
        <v>19</v>
      </c>
      <c r="F10" s="12" t="s">
        <v>47</v>
      </c>
      <c r="G10" s="3" t="s">
        <v>26</v>
      </c>
      <c r="H10" s="12" t="s">
        <v>67</v>
      </c>
      <c r="I10" s="3" t="s">
        <v>72</v>
      </c>
      <c r="J10" s="3" t="s">
        <v>19</v>
      </c>
      <c r="K10" s="3">
        <v>800</v>
      </c>
      <c r="L10" s="3">
        <v>120.746</v>
      </c>
      <c r="M10" s="3">
        <v>124.35</v>
      </c>
      <c r="N10" s="4">
        <f t="shared" si="1"/>
        <v>124.35</v>
      </c>
      <c r="O10" s="17">
        <v>96596.800000000003</v>
      </c>
      <c r="P10" s="3">
        <v>12.93</v>
      </c>
      <c r="Q10" s="3">
        <v>1</v>
      </c>
      <c r="R10" s="5">
        <f t="shared" si="2"/>
        <v>2.9847779636592513E-2</v>
      </c>
      <c r="S10" s="3">
        <v>2883.2</v>
      </c>
      <c r="T10" s="15">
        <v>2338.1999999999998</v>
      </c>
    </row>
    <row r="11" spans="1:21" x14ac:dyDescent="0.2">
      <c r="A11" s="4">
        <v>3</v>
      </c>
      <c r="B11" s="1">
        <v>46198</v>
      </c>
      <c r="C11" s="1">
        <v>46203</v>
      </c>
      <c r="D11" s="2">
        <v>0</v>
      </c>
      <c r="E11" s="4" t="s">
        <v>77</v>
      </c>
      <c r="F11" s="11" t="s">
        <v>48</v>
      </c>
      <c r="G11" s="3" t="s">
        <v>26</v>
      </c>
      <c r="H11" s="11" t="s">
        <v>66</v>
      </c>
      <c r="I11" s="4" t="s">
        <v>71</v>
      </c>
      <c r="J11" s="4" t="s">
        <v>33</v>
      </c>
      <c r="K11" s="4">
        <v>-1</v>
      </c>
      <c r="L11" s="4">
        <v>4042.5</v>
      </c>
      <c r="M11" s="4">
        <v>4028.25</v>
      </c>
      <c r="N11" s="4">
        <f t="shared" si="1"/>
        <v>4028.25</v>
      </c>
      <c r="O11" s="16">
        <v>202125</v>
      </c>
      <c r="P11" s="4">
        <v>4.74</v>
      </c>
      <c r="Q11" s="4">
        <v>1</v>
      </c>
      <c r="R11" s="5">
        <f t="shared" si="2"/>
        <v>3.5250463821892395E-3</v>
      </c>
      <c r="S11" s="4">
        <v>-712.5</v>
      </c>
      <c r="T11" s="13">
        <v>0</v>
      </c>
    </row>
    <row r="12" spans="1:21" x14ac:dyDescent="0.2">
      <c r="A12" s="3">
        <v>8</v>
      </c>
      <c r="B12" s="1">
        <v>46202</v>
      </c>
      <c r="C12" s="1">
        <f ca="1">TODAY()</f>
        <v>46267</v>
      </c>
      <c r="D12" s="2">
        <f t="shared" ca="1" si="0"/>
        <v>65</v>
      </c>
      <c r="E12" s="3" t="s">
        <v>20</v>
      </c>
      <c r="F12" s="12" t="s">
        <v>49</v>
      </c>
      <c r="G12" s="3" t="s">
        <v>16</v>
      </c>
      <c r="H12" s="12" t="s">
        <v>57</v>
      </c>
      <c r="I12" s="3" t="s">
        <v>72</v>
      </c>
      <c r="J12" s="3" t="s">
        <v>20</v>
      </c>
      <c r="K12" s="3">
        <v>-3000</v>
      </c>
      <c r="L12" s="3">
        <v>74.614400000000003</v>
      </c>
      <c r="M12" s="3">
        <v>73.084999999999994</v>
      </c>
      <c r="N12" s="3">
        <v>73.084999999999994</v>
      </c>
      <c r="O12" s="17">
        <v>223843.28</v>
      </c>
      <c r="P12" s="3">
        <v>44.49</v>
      </c>
      <c r="Q12" s="3">
        <v>1</v>
      </c>
      <c r="R12" s="5">
        <f t="shared" si="2"/>
        <v>2.0497383883003945E-2</v>
      </c>
      <c r="S12" s="3">
        <v>4588</v>
      </c>
      <c r="T12" s="13">
        <v>4588</v>
      </c>
    </row>
    <row r="13" spans="1:21" x14ac:dyDescent="0.2">
      <c r="A13" s="3">
        <v>9</v>
      </c>
      <c r="B13" s="1">
        <v>46202</v>
      </c>
      <c r="C13" s="1">
        <v>46204</v>
      </c>
      <c r="D13" s="2">
        <f t="shared" si="0"/>
        <v>2</v>
      </c>
      <c r="E13" s="3" t="s">
        <v>22</v>
      </c>
      <c r="F13" s="12" t="s">
        <v>50</v>
      </c>
      <c r="G13" s="3" t="s">
        <v>16</v>
      </c>
      <c r="H13" s="12" t="s">
        <v>57</v>
      </c>
      <c r="I13" s="3" t="s">
        <v>70</v>
      </c>
      <c r="J13" s="3" t="s">
        <v>22</v>
      </c>
      <c r="K13" s="3">
        <v>100</v>
      </c>
      <c r="L13" s="3">
        <v>550.35</v>
      </c>
      <c r="M13" s="3">
        <v>597.52</v>
      </c>
      <c r="N13" s="4">
        <f>M13</f>
        <v>597.52</v>
      </c>
      <c r="O13" s="17">
        <v>55035</v>
      </c>
      <c r="P13" s="3">
        <v>2.29</v>
      </c>
      <c r="Q13" s="3">
        <v>1</v>
      </c>
      <c r="R13" s="5">
        <f t="shared" ref="R13:R18" si="3">IF(Q13=1, ABS(M13-L13)/L13, 0)</f>
        <v>8.5709094212773618E-2</v>
      </c>
      <c r="S13" s="3">
        <v>4717</v>
      </c>
      <c r="T13" s="15">
        <v>4717</v>
      </c>
    </row>
    <row r="14" spans="1:21" x14ac:dyDescent="0.2">
      <c r="A14" s="4">
        <v>10</v>
      </c>
      <c r="B14" s="1">
        <v>46203</v>
      </c>
      <c r="C14" s="1">
        <v>46255</v>
      </c>
      <c r="D14" s="2">
        <f t="shared" si="0"/>
        <v>52</v>
      </c>
      <c r="E14" s="4" t="s">
        <v>78</v>
      </c>
      <c r="F14" s="11" t="s">
        <v>51</v>
      </c>
      <c r="G14" s="4" t="s">
        <v>16</v>
      </c>
      <c r="H14" s="12" t="s">
        <v>57</v>
      </c>
      <c r="I14" s="3" t="s">
        <v>71</v>
      </c>
      <c r="J14" s="4" t="s">
        <v>34</v>
      </c>
      <c r="K14" s="4">
        <v>60</v>
      </c>
      <c r="L14" s="4">
        <v>20.177299999999999</v>
      </c>
      <c r="M14" s="4">
        <v>17.451599999999999</v>
      </c>
      <c r="N14" s="4">
        <v>17.451599999999999</v>
      </c>
      <c r="O14" s="16">
        <v>121064</v>
      </c>
      <c r="P14" s="4">
        <v>55.5</v>
      </c>
      <c r="Q14" s="4">
        <v>0</v>
      </c>
      <c r="R14" s="5">
        <f t="shared" si="3"/>
        <v>0</v>
      </c>
      <c r="S14" s="4">
        <v>-16354</v>
      </c>
      <c r="T14" s="25">
        <v>-16354</v>
      </c>
    </row>
    <row r="15" spans="1:21" x14ac:dyDescent="0.2">
      <c r="A15" s="4">
        <v>11</v>
      </c>
      <c r="B15" s="1">
        <v>46205</v>
      </c>
      <c r="C15" s="1">
        <v>46205</v>
      </c>
      <c r="D15" s="2">
        <f t="shared" si="0"/>
        <v>0</v>
      </c>
      <c r="E15" s="4" t="s">
        <v>79</v>
      </c>
      <c r="F15" s="11" t="s">
        <v>62</v>
      </c>
      <c r="G15" s="3" t="s">
        <v>16</v>
      </c>
      <c r="H15" s="12" t="s">
        <v>57</v>
      </c>
      <c r="I15" s="3" t="s">
        <v>71</v>
      </c>
      <c r="J15" s="4" t="s">
        <v>35</v>
      </c>
      <c r="K15" s="4">
        <v>-1</v>
      </c>
      <c r="L15" s="4">
        <v>3.0939999999999999</v>
      </c>
      <c r="M15" s="4">
        <v>3.0255000000000001</v>
      </c>
      <c r="N15" s="4">
        <f>M15</f>
        <v>3.0255000000000001</v>
      </c>
      <c r="O15" s="16">
        <v>116025</v>
      </c>
      <c r="P15" s="4">
        <v>5.94</v>
      </c>
      <c r="Q15" s="4">
        <v>1</v>
      </c>
      <c r="R15" s="5">
        <f t="shared" si="3"/>
        <v>2.2139625080801483E-2</v>
      </c>
      <c r="S15" s="4">
        <v>2568.75</v>
      </c>
      <c r="T15" s="13">
        <v>2568.75</v>
      </c>
    </row>
    <row r="16" spans="1:21" x14ac:dyDescent="0.2">
      <c r="A16" s="3">
        <v>12</v>
      </c>
      <c r="B16" s="1">
        <v>46211</v>
      </c>
      <c r="C16" s="1">
        <v>46217</v>
      </c>
      <c r="D16" s="2">
        <f t="shared" si="0"/>
        <v>6</v>
      </c>
      <c r="E16" s="3" t="s">
        <v>23</v>
      </c>
      <c r="F16" s="12" t="s">
        <v>82</v>
      </c>
      <c r="G16" s="3" t="s">
        <v>16</v>
      </c>
      <c r="H16" s="12" t="s">
        <v>57</v>
      </c>
      <c r="I16" s="3" t="s">
        <v>70</v>
      </c>
      <c r="J16" s="3" t="s">
        <v>23</v>
      </c>
      <c r="K16" s="3">
        <v>-75</v>
      </c>
      <c r="L16" s="3">
        <v>1210.816</v>
      </c>
      <c r="M16" s="3">
        <v>1155.49</v>
      </c>
      <c r="N16" s="4">
        <f>M16</f>
        <v>1155.49</v>
      </c>
      <c r="O16" s="17">
        <v>90811.199999999997</v>
      </c>
      <c r="P16" s="3">
        <v>2.9</v>
      </c>
      <c r="Q16" s="3">
        <v>1</v>
      </c>
      <c r="R16" s="5">
        <f t="shared" si="3"/>
        <v>4.5693152386489792E-2</v>
      </c>
      <c r="S16" s="3">
        <v>4149.45</v>
      </c>
      <c r="T16" s="15">
        <v>4149.45</v>
      </c>
    </row>
    <row r="17" spans="1:21" x14ac:dyDescent="0.2">
      <c r="A17" s="4">
        <v>13</v>
      </c>
      <c r="B17" s="1">
        <v>46231</v>
      </c>
      <c r="C17" s="1">
        <v>46233</v>
      </c>
      <c r="D17" s="2">
        <f t="shared" si="0"/>
        <v>2</v>
      </c>
      <c r="E17" s="4" t="s">
        <v>24</v>
      </c>
      <c r="F17" s="11" t="s">
        <v>52</v>
      </c>
      <c r="G17" s="4" t="s">
        <v>16</v>
      </c>
      <c r="H17" s="11" t="s">
        <v>57</v>
      </c>
      <c r="I17" s="4" t="s">
        <v>70</v>
      </c>
      <c r="J17" s="4" t="s">
        <v>24</v>
      </c>
      <c r="K17" s="4">
        <v>2000</v>
      </c>
      <c r="L17" s="4">
        <v>111.46</v>
      </c>
      <c r="M17" s="4">
        <v>117.0329</v>
      </c>
      <c r="N17" s="4">
        <f>M17</f>
        <v>117.0329</v>
      </c>
      <c r="O17" s="16">
        <v>232660</v>
      </c>
      <c r="Q17" s="4">
        <v>1</v>
      </c>
      <c r="R17" s="5">
        <f t="shared" si="3"/>
        <v>4.9999102817154174E-2</v>
      </c>
      <c r="S17" s="4">
        <v>11150</v>
      </c>
      <c r="T17" s="13">
        <v>11150</v>
      </c>
    </row>
    <row r="18" spans="1:21" x14ac:dyDescent="0.2">
      <c r="A18" s="4">
        <v>14</v>
      </c>
      <c r="B18" s="1">
        <v>46231</v>
      </c>
      <c r="C18" s="1">
        <v>46233</v>
      </c>
      <c r="D18" s="2">
        <f t="shared" si="0"/>
        <v>2</v>
      </c>
      <c r="E18" s="4" t="s">
        <v>25</v>
      </c>
      <c r="F18" s="11" t="s">
        <v>53</v>
      </c>
      <c r="G18" s="4" t="s">
        <v>16</v>
      </c>
      <c r="H18" s="11" t="s">
        <v>57</v>
      </c>
      <c r="I18" s="4" t="s">
        <v>70</v>
      </c>
      <c r="J18" s="4" t="s">
        <v>25</v>
      </c>
      <c r="K18" s="4">
        <v>-300</v>
      </c>
      <c r="L18" s="4">
        <v>337.98</v>
      </c>
      <c r="M18" s="4">
        <v>331.22</v>
      </c>
      <c r="N18" s="4">
        <f>M18</f>
        <v>331.22</v>
      </c>
      <c r="O18" s="16">
        <v>101964</v>
      </c>
      <c r="Q18" s="4">
        <v>1</v>
      </c>
      <c r="R18" s="5">
        <f t="shared" si="3"/>
        <v>2.0001183501982336E-2</v>
      </c>
      <c r="S18" s="4">
        <v>2033</v>
      </c>
      <c r="T18" s="13">
        <v>2033</v>
      </c>
    </row>
    <row r="19" spans="1:21" x14ac:dyDescent="0.2">
      <c r="A19" s="4">
        <v>15</v>
      </c>
      <c r="B19" s="1">
        <v>46244</v>
      </c>
      <c r="C19" s="1">
        <f ca="1">TODAY()</f>
        <v>46267</v>
      </c>
      <c r="D19" s="2">
        <f t="shared" ca="1" si="0"/>
        <v>23</v>
      </c>
      <c r="E19" s="28" t="s">
        <v>37</v>
      </c>
      <c r="F19" s="29" t="s">
        <v>54</v>
      </c>
      <c r="G19" s="28" t="s">
        <v>16</v>
      </c>
      <c r="H19" s="29" t="s">
        <v>57</v>
      </c>
      <c r="I19" s="28" t="s">
        <v>72</v>
      </c>
      <c r="J19" s="28" t="s">
        <v>37</v>
      </c>
      <c r="K19" s="28">
        <v>-500</v>
      </c>
      <c r="L19" s="28">
        <v>108.102</v>
      </c>
      <c r="M19" s="28" t="s">
        <v>21</v>
      </c>
      <c r="N19" s="28">
        <v>107.26</v>
      </c>
      <c r="O19" s="30">
        <v>54051</v>
      </c>
      <c r="P19" s="28">
        <v>4.5599999999999996</v>
      </c>
      <c r="Q19" s="28" t="s">
        <v>21</v>
      </c>
      <c r="R19" s="31" t="s">
        <v>21</v>
      </c>
      <c r="S19" s="28" t="s">
        <v>21</v>
      </c>
      <c r="T19" s="30" t="s">
        <v>21</v>
      </c>
      <c r="U19" s="4">
        <v>709</v>
      </c>
    </row>
    <row r="20" spans="1:21" x14ac:dyDescent="0.2">
      <c r="A20" s="4">
        <v>16</v>
      </c>
      <c r="B20" s="1">
        <v>46244</v>
      </c>
      <c r="C20" s="6">
        <f ca="1">TODAY()</f>
        <v>46267</v>
      </c>
      <c r="D20" s="2">
        <f t="shared" ca="1" si="0"/>
        <v>23</v>
      </c>
      <c r="E20" s="4" t="s">
        <v>80</v>
      </c>
      <c r="F20" s="11" t="s">
        <v>64</v>
      </c>
      <c r="G20" s="4" t="s">
        <v>16</v>
      </c>
      <c r="H20" s="11" t="s">
        <v>57</v>
      </c>
      <c r="I20" s="4" t="s">
        <v>71</v>
      </c>
      <c r="J20" s="4" t="s">
        <v>65</v>
      </c>
      <c r="K20" s="4">
        <v>-1</v>
      </c>
      <c r="L20" s="4">
        <v>1868.84</v>
      </c>
      <c r="M20" s="4">
        <v>1860.72</v>
      </c>
      <c r="N20" s="4">
        <v>1860.72</v>
      </c>
      <c r="O20" s="16">
        <v>185382</v>
      </c>
      <c r="P20" s="4">
        <v>11.2</v>
      </c>
      <c r="Q20" s="4">
        <v>1</v>
      </c>
      <c r="R20" s="5">
        <f>IF(Q20=1, ABS(M20-L20)/L20, 0)</f>
        <v>4.3449412469766758E-3</v>
      </c>
      <c r="S20" s="4">
        <v>4060</v>
      </c>
      <c r="T20" s="13">
        <v>4060</v>
      </c>
    </row>
    <row r="21" spans="1:21" x14ac:dyDescent="0.2">
      <c r="A21" s="4">
        <v>17</v>
      </c>
      <c r="B21" s="1">
        <v>46246</v>
      </c>
      <c r="C21" s="1">
        <v>46259</v>
      </c>
      <c r="D21" s="2">
        <f t="shared" si="0"/>
        <v>13</v>
      </c>
      <c r="E21" s="4" t="s">
        <v>55</v>
      </c>
      <c r="F21" s="11" t="s">
        <v>58</v>
      </c>
      <c r="G21" s="4" t="s">
        <v>26</v>
      </c>
      <c r="H21" s="11" t="s">
        <v>68</v>
      </c>
      <c r="I21" s="4" t="s">
        <v>72</v>
      </c>
      <c r="J21" s="4" t="s">
        <v>55</v>
      </c>
      <c r="K21" s="4">
        <v>2000</v>
      </c>
      <c r="L21" s="4">
        <v>82.31</v>
      </c>
      <c r="M21" s="4">
        <v>83.02</v>
      </c>
      <c r="N21" s="4">
        <v>83.02</v>
      </c>
      <c r="O21" s="16">
        <v>164620</v>
      </c>
      <c r="P21" s="4">
        <v>23.92</v>
      </c>
      <c r="Q21" s="4">
        <v>1</v>
      </c>
      <c r="R21" s="5">
        <f>IF(Q21=1, ABS(M21-L21)/L21, 0)</f>
        <v>8.6259263758959263E-3</v>
      </c>
      <c r="S21" s="4">
        <v>1420</v>
      </c>
      <c r="T21" s="13">
        <v>0</v>
      </c>
    </row>
    <row r="22" spans="1:21" x14ac:dyDescent="0.2">
      <c r="A22" s="4">
        <v>17</v>
      </c>
      <c r="B22" s="1">
        <v>46246</v>
      </c>
      <c r="C22" s="1">
        <v>46259</v>
      </c>
      <c r="D22" s="2">
        <f t="shared" si="0"/>
        <v>13</v>
      </c>
      <c r="E22" s="4" t="s">
        <v>59</v>
      </c>
      <c r="F22" s="11" t="s">
        <v>60</v>
      </c>
      <c r="G22" s="4" t="s">
        <v>26</v>
      </c>
      <c r="H22" s="11" t="s">
        <v>68</v>
      </c>
      <c r="I22" s="4" t="s">
        <v>71</v>
      </c>
      <c r="J22" s="4" t="s">
        <v>59</v>
      </c>
      <c r="K22" s="4">
        <v>-4</v>
      </c>
      <c r="L22" s="4">
        <v>7763</v>
      </c>
      <c r="M22" s="4">
        <v>7689.75</v>
      </c>
      <c r="N22" s="4">
        <v>7689.75</v>
      </c>
      <c r="O22" s="16">
        <v>154290</v>
      </c>
      <c r="P22" s="4">
        <v>17.079999999999998</v>
      </c>
      <c r="Q22" s="4">
        <v>1</v>
      </c>
      <c r="R22" s="5">
        <f>IF(Q22=1, ABS(M22-L22)/L22, 0)</f>
        <v>9.435785134612908E-3</v>
      </c>
      <c r="S22" s="4">
        <v>1418</v>
      </c>
      <c r="T22" s="13">
        <v>2838</v>
      </c>
    </row>
    <row r="23" spans="1:21" x14ac:dyDescent="0.2">
      <c r="A23" s="4">
        <v>18</v>
      </c>
      <c r="B23" s="1">
        <v>46246</v>
      </c>
      <c r="C23" s="1">
        <v>46246</v>
      </c>
      <c r="D23" s="2">
        <f t="shared" si="0"/>
        <v>0</v>
      </c>
      <c r="E23" s="4" t="s">
        <v>81</v>
      </c>
      <c r="F23" s="11" t="s">
        <v>61</v>
      </c>
      <c r="G23" s="4" t="s">
        <v>16</v>
      </c>
      <c r="H23" s="11" t="s">
        <v>57</v>
      </c>
      <c r="I23" s="4" t="s">
        <v>71</v>
      </c>
      <c r="J23" s="4" t="s">
        <v>63</v>
      </c>
      <c r="K23" s="4">
        <v>-10</v>
      </c>
      <c r="L23" s="4">
        <v>0.16914999999999999</v>
      </c>
      <c r="M23" s="4">
        <v>0.16313</v>
      </c>
      <c r="N23" s="4">
        <v>0.16313</v>
      </c>
      <c r="O23" s="16">
        <v>182705</v>
      </c>
      <c r="P23" s="4">
        <v>29.6</v>
      </c>
      <c r="Q23" s="4">
        <v>1</v>
      </c>
      <c r="R23" s="5">
        <f>IF(Q23=1, ABS(M23-L23)/L23, 0)</f>
        <v>3.5589713272243556E-2</v>
      </c>
      <c r="S23" s="4">
        <v>6742</v>
      </c>
      <c r="T23" s="13">
        <v>6742</v>
      </c>
    </row>
    <row r="24" spans="1:21" x14ac:dyDescent="0.2">
      <c r="A24" s="4">
        <v>19</v>
      </c>
      <c r="B24" s="1">
        <v>46254</v>
      </c>
      <c r="C24" s="1">
        <v>46254</v>
      </c>
      <c r="D24" s="2">
        <f t="shared" si="0"/>
        <v>0</v>
      </c>
      <c r="E24" s="4" t="s">
        <v>29</v>
      </c>
      <c r="F24" s="11" t="s">
        <v>42</v>
      </c>
      <c r="G24" s="4" t="s">
        <v>16</v>
      </c>
      <c r="H24" s="11" t="s">
        <v>57</v>
      </c>
      <c r="I24" s="4" t="s">
        <v>71</v>
      </c>
      <c r="J24" s="4" t="s">
        <v>89</v>
      </c>
      <c r="K24" s="4">
        <v>-10</v>
      </c>
      <c r="L24" s="4">
        <v>1.1704300000000001</v>
      </c>
      <c r="M24" s="4">
        <v>1.1695</v>
      </c>
      <c r="N24" s="4">
        <v>1.1695</v>
      </c>
      <c r="O24" s="16">
        <v>1451000</v>
      </c>
      <c r="P24" s="4">
        <v>6.28</v>
      </c>
      <c r="Q24" s="4">
        <v>1</v>
      </c>
      <c r="R24" s="5">
        <v>8.0000000000000004E-4</v>
      </c>
      <c r="S24" s="4">
        <v>1245</v>
      </c>
      <c r="T24" s="13">
        <v>1245</v>
      </c>
    </row>
    <row r="25" spans="1:21" x14ac:dyDescent="0.2">
      <c r="A25" s="4">
        <v>20</v>
      </c>
      <c r="B25" s="1">
        <v>46255</v>
      </c>
      <c r="C25" s="1">
        <v>46257</v>
      </c>
      <c r="D25" s="2">
        <f t="shared" si="0"/>
        <v>2</v>
      </c>
      <c r="E25" s="4" t="s">
        <v>96</v>
      </c>
      <c r="F25" s="11" t="s">
        <v>97</v>
      </c>
      <c r="G25" s="4" t="s">
        <v>16</v>
      </c>
      <c r="H25" s="11" t="s">
        <v>57</v>
      </c>
      <c r="I25" s="4" t="s">
        <v>71</v>
      </c>
      <c r="J25" s="4" t="s">
        <v>98</v>
      </c>
      <c r="K25" s="4">
        <v>-6</v>
      </c>
      <c r="L25" s="4">
        <v>0.72838000000000003</v>
      </c>
      <c r="M25" s="4">
        <v>0.72550000000000003</v>
      </c>
      <c r="N25" s="4">
        <v>0.72550000000000003</v>
      </c>
      <c r="O25" s="16">
        <v>436235</v>
      </c>
      <c r="P25" s="4">
        <v>4.5599999999999996</v>
      </c>
      <c r="Q25" s="4">
        <v>1</v>
      </c>
      <c r="R25" s="5">
        <f>IF(Q25=1, ABS(M25-L25)/L25, 0)</f>
        <v>3.9539800653504951E-3</v>
      </c>
      <c r="S25" s="4">
        <v>1710</v>
      </c>
      <c r="T25" s="13">
        <v>1710</v>
      </c>
    </row>
    <row r="26" spans="1:21" x14ac:dyDescent="0.2">
      <c r="A26" s="4">
        <v>21</v>
      </c>
      <c r="B26" s="1">
        <v>46258</v>
      </c>
      <c r="C26" s="1">
        <f ca="1">TODAY()</f>
        <v>46267</v>
      </c>
      <c r="D26" s="2">
        <f t="shared" ref="D26:D32" ca="1" si="4">C26-B26</f>
        <v>9</v>
      </c>
      <c r="E26" s="4" t="s">
        <v>102</v>
      </c>
      <c r="F26" s="11" t="s">
        <v>103</v>
      </c>
      <c r="G26" s="4" t="s">
        <v>16</v>
      </c>
      <c r="H26" s="11" t="s">
        <v>57</v>
      </c>
      <c r="I26" s="4" t="s">
        <v>71</v>
      </c>
      <c r="J26" s="4" t="s">
        <v>104</v>
      </c>
      <c r="K26" s="4">
        <v>-3</v>
      </c>
      <c r="L26" s="4">
        <v>4703.32</v>
      </c>
      <c r="M26" s="4">
        <v>4663.8</v>
      </c>
      <c r="N26" s="4">
        <v>4663.8</v>
      </c>
      <c r="O26" s="16">
        <v>141200</v>
      </c>
      <c r="P26" s="4">
        <v>9.6</v>
      </c>
      <c r="Q26" s="4">
        <v>1</v>
      </c>
      <c r="R26" s="5">
        <f>IF(Q26=1, ABS(M26-L26)/L26, 0)</f>
        <v>8.4025752021974973E-3</v>
      </c>
      <c r="S26" s="4">
        <v>715</v>
      </c>
      <c r="T26" s="13">
        <v>715</v>
      </c>
    </row>
    <row r="27" spans="1:21" x14ac:dyDescent="0.2">
      <c r="A27" s="4">
        <v>22</v>
      </c>
      <c r="B27" s="1">
        <v>46258</v>
      </c>
      <c r="C27" s="1">
        <v>46258</v>
      </c>
      <c r="D27" s="7">
        <v>0</v>
      </c>
      <c r="E27" s="4" t="s">
        <v>101</v>
      </c>
      <c r="F27" s="11" t="s">
        <v>105</v>
      </c>
      <c r="G27" s="4" t="s">
        <v>16</v>
      </c>
      <c r="H27" s="11" t="s">
        <v>57</v>
      </c>
      <c r="I27" s="4" t="s">
        <v>70</v>
      </c>
      <c r="J27" s="4" t="s">
        <v>101</v>
      </c>
      <c r="K27" s="4">
        <v>-1000</v>
      </c>
      <c r="L27" s="4">
        <v>133.33799999999999</v>
      </c>
      <c r="M27" s="4">
        <v>129.84</v>
      </c>
      <c r="N27" s="4">
        <v>129.84</v>
      </c>
      <c r="O27" s="16">
        <v>133338</v>
      </c>
      <c r="P27" s="4">
        <v>9.65</v>
      </c>
      <c r="Q27" s="4">
        <v>1</v>
      </c>
      <c r="R27" s="5">
        <f>IF(Q27=1, ABS(M27-L27)/L27, 0)</f>
        <v>2.623408180713668E-2</v>
      </c>
      <c r="S27" s="4">
        <v>3498</v>
      </c>
      <c r="T27" s="13">
        <v>3498</v>
      </c>
    </row>
    <row r="28" spans="1:21" x14ac:dyDescent="0.2">
      <c r="A28" s="4">
        <v>23</v>
      </c>
      <c r="B28" s="1">
        <v>46265</v>
      </c>
      <c r="C28" s="1">
        <f ca="1">TODAY()</f>
        <v>46267</v>
      </c>
      <c r="D28" s="2">
        <f t="shared" ca="1" si="4"/>
        <v>2</v>
      </c>
      <c r="E28" s="4" t="s">
        <v>108</v>
      </c>
      <c r="F28" s="11" t="s">
        <v>109</v>
      </c>
      <c r="G28" s="4" t="s">
        <v>16</v>
      </c>
      <c r="H28" s="11" t="s">
        <v>57</v>
      </c>
      <c r="I28" s="4" t="s">
        <v>70</v>
      </c>
      <c r="J28" s="4" t="s">
        <v>108</v>
      </c>
      <c r="K28" s="4">
        <v>-1000</v>
      </c>
      <c r="L28" s="4">
        <v>59.798999999999999</v>
      </c>
      <c r="M28" s="4">
        <v>57.99</v>
      </c>
      <c r="N28" s="4">
        <v>57.99</v>
      </c>
      <c r="O28" s="16">
        <v>59799</v>
      </c>
      <c r="P28" s="4">
        <v>11.32</v>
      </c>
      <c r="Q28" s="4">
        <v>1</v>
      </c>
      <c r="R28" s="5">
        <f>IF(Q28=1, ABS(M28-L28)/L28, 0)</f>
        <v>3.0251341995685504E-2</v>
      </c>
      <c r="S28" s="4">
        <v>1809</v>
      </c>
      <c r="T28" s="13">
        <v>1809</v>
      </c>
    </row>
    <row r="29" spans="1:21" x14ac:dyDescent="0.2">
      <c r="A29" s="4">
        <v>24</v>
      </c>
      <c r="B29" s="1">
        <f ca="1">TODAY()</f>
        <v>46267</v>
      </c>
      <c r="C29" s="1">
        <f ca="1">TODAY()</f>
        <v>46267</v>
      </c>
      <c r="D29" s="2">
        <f t="shared" ca="1" si="4"/>
        <v>0</v>
      </c>
      <c r="E29" s="32" t="s">
        <v>112</v>
      </c>
      <c r="F29" s="33" t="s">
        <v>113</v>
      </c>
      <c r="G29" s="32" t="s">
        <v>16</v>
      </c>
      <c r="H29" s="33" t="s">
        <v>57</v>
      </c>
      <c r="I29" s="32" t="s">
        <v>70</v>
      </c>
      <c r="J29" s="32" t="s">
        <v>112</v>
      </c>
      <c r="K29" s="32">
        <v>500</v>
      </c>
      <c r="L29" s="32">
        <v>271.25880000000001</v>
      </c>
      <c r="M29" s="32" t="s">
        <v>21</v>
      </c>
      <c r="N29" s="32" t="s">
        <v>21</v>
      </c>
      <c r="O29" s="34">
        <v>135629</v>
      </c>
      <c r="P29" s="32">
        <v>1.85</v>
      </c>
      <c r="Q29" s="32" t="s">
        <v>21</v>
      </c>
      <c r="R29" s="35" t="s">
        <v>21</v>
      </c>
      <c r="S29" s="32" t="s">
        <v>21</v>
      </c>
      <c r="T29" s="34" t="s">
        <v>21</v>
      </c>
      <c r="U29" s="4">
        <v>-562</v>
      </c>
    </row>
    <row r="30" spans="1:21" x14ac:dyDescent="0.2">
      <c r="A30" s="4">
        <v>25</v>
      </c>
      <c r="B30" s="1">
        <f ca="1">TODAY()</f>
        <v>46267</v>
      </c>
      <c r="C30" s="1">
        <f ca="1">TODAY()</f>
        <v>46267</v>
      </c>
      <c r="D30" s="2">
        <f t="shared" ca="1" si="4"/>
        <v>0</v>
      </c>
      <c r="E30" s="32" t="s">
        <v>114</v>
      </c>
      <c r="F30" s="33" t="s">
        <v>115</v>
      </c>
      <c r="G30" s="32" t="s">
        <v>16</v>
      </c>
      <c r="H30" s="33" t="s">
        <v>57</v>
      </c>
      <c r="I30" s="32" t="s">
        <v>70</v>
      </c>
      <c r="J30" s="32" t="s">
        <v>114</v>
      </c>
      <c r="K30" s="32">
        <v>210</v>
      </c>
      <c r="L30" s="32">
        <v>958.57</v>
      </c>
      <c r="M30" s="32" t="s">
        <v>21</v>
      </c>
      <c r="N30" s="32" t="s">
        <v>21</v>
      </c>
      <c r="O30" s="34">
        <v>201299</v>
      </c>
      <c r="P30" s="32">
        <v>1.1399999999999999</v>
      </c>
      <c r="Q30" s="32" t="s">
        <v>21</v>
      </c>
      <c r="R30" s="35" t="s">
        <v>21</v>
      </c>
      <c r="S30" s="32" t="s">
        <v>21</v>
      </c>
      <c r="T30" s="34" t="s">
        <v>21</v>
      </c>
      <c r="U30" s="4">
        <v>-1361</v>
      </c>
    </row>
    <row r="31" spans="1:21" x14ac:dyDescent="0.2">
      <c r="A31" s="4">
        <v>26</v>
      </c>
      <c r="B31" s="1">
        <f ca="1">TODAY()</f>
        <v>46267</v>
      </c>
      <c r="C31" s="1">
        <f ca="1">TODAY()</f>
        <v>46267</v>
      </c>
      <c r="D31" s="2">
        <f t="shared" ca="1" si="4"/>
        <v>0</v>
      </c>
      <c r="E31" s="32" t="s">
        <v>116</v>
      </c>
      <c r="F31" s="33" t="s">
        <v>117</v>
      </c>
      <c r="G31" s="32" t="s">
        <v>16</v>
      </c>
      <c r="H31" s="33" t="s">
        <v>57</v>
      </c>
      <c r="I31" s="32" t="s">
        <v>70</v>
      </c>
      <c r="J31" s="32" t="s">
        <v>116</v>
      </c>
      <c r="K31" s="32">
        <v>400</v>
      </c>
      <c r="L31" s="32">
        <v>331.50700000000001</v>
      </c>
      <c r="M31" s="32" t="s">
        <v>21</v>
      </c>
      <c r="N31" s="32" t="s">
        <v>21</v>
      </c>
      <c r="O31" s="34">
        <v>132602</v>
      </c>
      <c r="P31" s="32">
        <v>1.18</v>
      </c>
      <c r="Q31" s="32" t="s">
        <v>21</v>
      </c>
      <c r="R31" s="35" t="s">
        <v>21</v>
      </c>
      <c r="S31" s="32" t="s">
        <v>21</v>
      </c>
      <c r="T31" s="34" t="s">
        <v>21</v>
      </c>
      <c r="U31" s="4">
        <v>-624</v>
      </c>
    </row>
    <row r="32" spans="1:21" x14ac:dyDescent="0.2">
      <c r="A32" s="4">
        <v>27</v>
      </c>
      <c r="B32" s="1">
        <f ca="1">TODAY()</f>
        <v>46267</v>
      </c>
      <c r="C32" s="1">
        <f ca="1">TODAY()</f>
        <v>46267</v>
      </c>
      <c r="D32" s="2">
        <f t="shared" ca="1" si="4"/>
        <v>0</v>
      </c>
      <c r="E32" s="32" t="s">
        <v>118</v>
      </c>
      <c r="F32" s="33" t="s">
        <v>119</v>
      </c>
      <c r="G32" s="32" t="s">
        <v>16</v>
      </c>
      <c r="H32" s="33" t="s">
        <v>57</v>
      </c>
      <c r="I32" s="32" t="s">
        <v>70</v>
      </c>
      <c r="J32" s="32" t="s">
        <v>118</v>
      </c>
      <c r="K32" s="32">
        <v>-4000</v>
      </c>
      <c r="L32" s="32">
        <v>50.406999999999996</v>
      </c>
      <c r="M32" s="32" t="s">
        <v>21</v>
      </c>
      <c r="N32" s="32" t="s">
        <v>21</v>
      </c>
      <c r="O32" s="34">
        <v>201080</v>
      </c>
      <c r="P32" s="32">
        <v>1.21</v>
      </c>
      <c r="Q32" s="32" t="s">
        <v>21</v>
      </c>
      <c r="R32" s="35" t="s">
        <v>21</v>
      </c>
      <c r="S32" s="32" t="s">
        <v>21</v>
      </c>
      <c r="T32" s="34" t="s">
        <v>21</v>
      </c>
      <c r="U32" s="4">
        <v>549</v>
      </c>
    </row>
    <row r="33" spans="2:21" x14ac:dyDescent="0.2">
      <c r="B33" s="1"/>
      <c r="C33" s="1"/>
      <c r="F33" s="11"/>
      <c r="H33" s="11"/>
      <c r="O33" s="16"/>
      <c r="R33" s="5"/>
      <c r="T33" s="16"/>
    </row>
    <row r="34" spans="2:21" x14ac:dyDescent="0.2">
      <c r="B34" s="1"/>
      <c r="C34" s="1"/>
      <c r="F34" s="11"/>
      <c r="H34" s="11"/>
      <c r="O34" s="16"/>
      <c r="R34" s="5"/>
      <c r="T34" s="16"/>
    </row>
    <row r="35" spans="2:21" x14ac:dyDescent="0.2">
      <c r="F35" s="11"/>
      <c r="H35" s="11"/>
    </row>
    <row r="36" spans="2:21" x14ac:dyDescent="0.2">
      <c r="D36" s="24" t="s">
        <v>100</v>
      </c>
      <c r="E36" s="7">
        <f ca="1">AVERAGE(D2:D24)</f>
        <v>11.217391304347826</v>
      </c>
      <c r="F36" s="11"/>
      <c r="H36" s="11"/>
      <c r="T36" s="16">
        <f>SUM(T2:T28)</f>
        <v>61441.47</v>
      </c>
      <c r="U36" s="16">
        <f>SUM(U2:U32)</f>
        <v>-1289</v>
      </c>
    </row>
    <row r="37" spans="2:21" x14ac:dyDescent="0.2">
      <c r="D37" s="24" t="s">
        <v>99</v>
      </c>
      <c r="E37" s="7">
        <f ca="1">AVERAGE(D2:D11,D13,D15:D25)</f>
        <v>6.5</v>
      </c>
      <c r="F37" s="11"/>
      <c r="T37" s="4" t="s">
        <v>92</v>
      </c>
      <c r="U37" s="11" t="s">
        <v>91</v>
      </c>
    </row>
    <row r="38" spans="2:21" x14ac:dyDescent="0.2">
      <c r="F38" s="11"/>
      <c r="T38" s="4" t="s">
        <v>95</v>
      </c>
    </row>
    <row r="39" spans="2:21" x14ac:dyDescent="0.2">
      <c r="F39" s="11"/>
      <c r="T39" s="16">
        <f>T36+U36</f>
        <v>60152.47</v>
      </c>
    </row>
    <row r="40" spans="2:21" x14ac:dyDescent="0.2">
      <c r="F40" s="11"/>
    </row>
    <row r="41" spans="2:21" x14ac:dyDescent="0.2">
      <c r="F41" s="11"/>
      <c r="T41" s="11" t="s">
        <v>93</v>
      </c>
    </row>
    <row r="42" spans="2:21" x14ac:dyDescent="0.2">
      <c r="F42" s="11"/>
      <c r="T42" s="16">
        <v>333000</v>
      </c>
    </row>
    <row r="44" spans="2:21" x14ac:dyDescent="0.2">
      <c r="T44" s="4" t="s">
        <v>94</v>
      </c>
    </row>
    <row r="45" spans="2:21" x14ac:dyDescent="0.2">
      <c r="T45" s="23">
        <f>T39/T42</f>
        <v>0.18063804804804806</v>
      </c>
    </row>
  </sheetData>
  <sortState xmlns:xlrd2="http://schemas.microsoft.com/office/spreadsheetml/2017/richdata2" ref="B2:T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H60"/>
  <sheetViews>
    <sheetView zoomScale="200" zoomScaleNormal="200" workbookViewId="0">
      <selection activeCell="H11" sqref="H11"/>
    </sheetView>
  </sheetViews>
  <sheetFormatPr baseColWidth="10" defaultRowHeight="15" x14ac:dyDescent="0.2"/>
  <cols>
    <col min="1" max="1" width="10.1640625" bestFit="1" customWidth="1"/>
    <col min="2" max="2" width="13.6640625" style="20" customWidth="1"/>
    <col min="3" max="3" width="7.1640625" style="21" bestFit="1" customWidth="1"/>
    <col min="4" max="4" width="7.1640625" style="26" bestFit="1" customWidth="1"/>
    <col min="7" max="7" width="15.33203125" bestFit="1" customWidth="1"/>
    <col min="8" max="8" width="8" bestFit="1" customWidth="1"/>
  </cols>
  <sheetData>
    <row r="1" spans="1:8" x14ac:dyDescent="0.2">
      <c r="A1" s="21" t="s">
        <v>83</v>
      </c>
      <c r="B1" s="20" t="s">
        <v>84</v>
      </c>
      <c r="C1" s="21" t="s">
        <v>86</v>
      </c>
      <c r="D1" s="26" t="s">
        <v>106</v>
      </c>
      <c r="G1" s="36"/>
    </row>
    <row r="2" spans="1:8" x14ac:dyDescent="0.2">
      <c r="A2" s="18">
        <v>46184</v>
      </c>
      <c r="B2" s="20">
        <v>333455.63</v>
      </c>
      <c r="C2" s="21">
        <v>0</v>
      </c>
      <c r="D2" s="26">
        <v>0</v>
      </c>
      <c r="G2" s="36" t="s">
        <v>85</v>
      </c>
      <c r="H2" s="19">
        <f>AVERAGE(C3:C60)</f>
        <v>1161.7429310344821</v>
      </c>
    </row>
    <row r="3" spans="1:8" x14ac:dyDescent="0.2">
      <c r="A3" s="18">
        <v>46185</v>
      </c>
      <c r="B3" s="20">
        <v>350216.98</v>
      </c>
      <c r="C3" s="20">
        <f>B3-B2</f>
        <v>16761.349999999977</v>
      </c>
      <c r="D3" s="26">
        <f>C3/B2</f>
        <v>5.0265608051062075E-2</v>
      </c>
      <c r="G3" s="36" t="s">
        <v>87</v>
      </c>
      <c r="H3" s="19">
        <f>_xlfn.STDEV.S(C3:C60)</f>
        <v>4573.412333447518</v>
      </c>
    </row>
    <row r="4" spans="1:8" x14ac:dyDescent="0.2">
      <c r="A4" s="18">
        <v>46188</v>
      </c>
      <c r="B4" s="20">
        <v>356930.64</v>
      </c>
      <c r="C4" s="20">
        <f t="shared" ref="C4:C60" si="0">B4-B3</f>
        <v>6713.6600000000326</v>
      </c>
      <c r="D4" s="26">
        <f t="shared" ref="D4:D60" si="1">C4/B3</f>
        <v>1.9170001408840977E-2</v>
      </c>
      <c r="G4" s="36" t="s">
        <v>88</v>
      </c>
      <c r="H4" s="22">
        <f>(H2/H3)*SQRT(252)</f>
        <v>4.0324589065698859</v>
      </c>
    </row>
    <row r="5" spans="1:8" x14ac:dyDescent="0.2">
      <c r="A5" s="18">
        <v>46189</v>
      </c>
      <c r="B5" s="20">
        <v>351815.49</v>
      </c>
      <c r="C5" s="20">
        <f t="shared" si="0"/>
        <v>-5115.1500000000233</v>
      </c>
      <c r="D5" s="26">
        <f t="shared" si="1"/>
        <v>-1.4330935556555255E-2</v>
      </c>
      <c r="G5" s="36" t="s">
        <v>107</v>
      </c>
      <c r="H5" s="27">
        <f>_xlfn.STDEV.S(D2:D60)*SQRT(252)</f>
        <v>0.19926468183180066</v>
      </c>
    </row>
    <row r="6" spans="1:8" x14ac:dyDescent="0.2">
      <c r="A6" s="18">
        <v>46190</v>
      </c>
      <c r="B6" s="20">
        <v>358486.01</v>
      </c>
      <c r="C6" s="20">
        <f t="shared" si="0"/>
        <v>6670.5200000000186</v>
      </c>
      <c r="D6" s="26">
        <f t="shared" si="1"/>
        <v>1.8960279435109632E-2</v>
      </c>
      <c r="G6" s="36" t="s">
        <v>111</v>
      </c>
      <c r="H6" s="27" cm="1">
        <f t="array" ref="H6">PRODUCT(1+D2:D60)-1</f>
        <v>0.20206913285584815</v>
      </c>
    </row>
    <row r="7" spans="1:8" x14ac:dyDescent="0.2">
      <c r="A7" s="18">
        <v>46191</v>
      </c>
      <c r="B7" s="20">
        <v>360758.08</v>
      </c>
      <c r="C7" s="20">
        <f t="shared" si="0"/>
        <v>2272.070000000007</v>
      </c>
      <c r="D7" s="26">
        <f t="shared" si="1"/>
        <v>6.3379600224845786E-3</v>
      </c>
      <c r="G7" s="36" t="s">
        <v>110</v>
      </c>
      <c r="H7" s="27" cm="1">
        <f t="array" ref="H7">PRODUCT(1+D2:D60)^(252/COUNT(D2:D60))-1</f>
        <v>1.1947929833927429</v>
      </c>
    </row>
    <row r="8" spans="1:8" x14ac:dyDescent="0.2">
      <c r="A8" s="18">
        <v>46192</v>
      </c>
      <c r="B8" s="20">
        <v>360243.39</v>
      </c>
      <c r="C8" s="20">
        <f t="shared" si="0"/>
        <v>-514.69000000000233</v>
      </c>
      <c r="D8" s="26">
        <f t="shared" si="1"/>
        <v>-1.4266901520265389E-3</v>
      </c>
    </row>
    <row r="9" spans="1:8" x14ac:dyDescent="0.2">
      <c r="A9" s="18">
        <v>46195</v>
      </c>
      <c r="B9" s="20">
        <v>351346.76</v>
      </c>
      <c r="C9" s="20">
        <f t="shared" si="0"/>
        <v>-8896.6300000000047</v>
      </c>
      <c r="D9" s="26">
        <f t="shared" si="1"/>
        <v>-2.4696164445931968E-2</v>
      </c>
      <c r="G9" s="36"/>
    </row>
    <row r="10" spans="1:8" x14ac:dyDescent="0.2">
      <c r="A10" s="18">
        <v>46196</v>
      </c>
      <c r="B10" s="20">
        <v>352224.24</v>
      </c>
      <c r="C10" s="20">
        <f t="shared" si="0"/>
        <v>877.47999999998137</v>
      </c>
      <c r="D10" s="26">
        <f t="shared" si="1"/>
        <v>2.4974757131671892E-3</v>
      </c>
      <c r="G10" s="36"/>
    </row>
    <row r="11" spans="1:8" x14ac:dyDescent="0.2">
      <c r="A11" s="18">
        <v>46197</v>
      </c>
      <c r="B11" s="20">
        <v>347929.11</v>
      </c>
      <c r="C11" s="20">
        <f t="shared" si="0"/>
        <v>-4295.1300000000047</v>
      </c>
      <c r="D11" s="26">
        <f t="shared" si="1"/>
        <v>-1.219430553672287E-2</v>
      </c>
      <c r="G11" s="36"/>
    </row>
    <row r="12" spans="1:8" x14ac:dyDescent="0.2">
      <c r="A12" s="18">
        <v>46198</v>
      </c>
      <c r="B12" s="20">
        <v>349277.46</v>
      </c>
      <c r="C12" s="20">
        <f t="shared" si="0"/>
        <v>1348.3500000000349</v>
      </c>
      <c r="D12" s="26">
        <f t="shared" si="1"/>
        <v>3.8753584027505917E-3</v>
      </c>
      <c r="G12" s="36"/>
    </row>
    <row r="13" spans="1:8" x14ac:dyDescent="0.2">
      <c r="A13" s="18">
        <v>46199</v>
      </c>
      <c r="B13" s="20">
        <v>351579.06</v>
      </c>
      <c r="C13" s="20">
        <f t="shared" si="0"/>
        <v>2301.5999999999767</v>
      </c>
      <c r="D13" s="26">
        <f t="shared" si="1"/>
        <v>6.5896035776255831E-3</v>
      </c>
      <c r="G13" s="36"/>
    </row>
    <row r="14" spans="1:8" x14ac:dyDescent="0.2">
      <c r="A14" s="18">
        <v>46202</v>
      </c>
      <c r="B14" s="20">
        <v>359661.12</v>
      </c>
      <c r="C14" s="20">
        <f t="shared" si="0"/>
        <v>8082.0599999999977</v>
      </c>
      <c r="D14" s="26">
        <f t="shared" si="1"/>
        <v>2.2987887845197601E-2</v>
      </c>
      <c r="G14" s="36"/>
    </row>
    <row r="15" spans="1:8" x14ac:dyDescent="0.2">
      <c r="A15" s="18">
        <v>46203</v>
      </c>
      <c r="B15" s="20">
        <v>361447.55</v>
      </c>
      <c r="C15" s="20">
        <f t="shared" si="0"/>
        <v>1786.429999999993</v>
      </c>
      <c r="D15" s="26">
        <f t="shared" si="1"/>
        <v>4.9669811404690978E-3</v>
      </c>
      <c r="G15" s="36"/>
    </row>
    <row r="16" spans="1:8" x14ac:dyDescent="0.2">
      <c r="A16" s="18">
        <v>46204</v>
      </c>
      <c r="B16" s="20">
        <v>363377.97</v>
      </c>
      <c r="C16" s="20">
        <f t="shared" si="0"/>
        <v>1930.4199999999837</v>
      </c>
      <c r="D16" s="26">
        <f t="shared" si="1"/>
        <v>5.3408025590434456E-3</v>
      </c>
      <c r="G16" s="36"/>
    </row>
    <row r="17" spans="1:7" x14ac:dyDescent="0.2">
      <c r="A17" s="18">
        <v>46205</v>
      </c>
      <c r="B17" s="20">
        <v>374651</v>
      </c>
      <c r="C17" s="20">
        <f t="shared" si="0"/>
        <v>11273.030000000028</v>
      </c>
      <c r="D17" s="26">
        <f t="shared" si="1"/>
        <v>3.1022876813363312E-2</v>
      </c>
      <c r="G17" s="36"/>
    </row>
    <row r="18" spans="1:7" x14ac:dyDescent="0.2">
      <c r="A18" s="18">
        <v>46206</v>
      </c>
      <c r="B18" s="20">
        <v>374479.39</v>
      </c>
      <c r="C18" s="20">
        <f t="shared" si="0"/>
        <v>-171.60999999998603</v>
      </c>
      <c r="D18" s="26">
        <f t="shared" si="1"/>
        <v>-4.5805296128926929E-4</v>
      </c>
    </row>
    <row r="19" spans="1:7" x14ac:dyDescent="0.2">
      <c r="A19" s="18">
        <v>46209</v>
      </c>
      <c r="B19" s="20">
        <v>372801.92</v>
      </c>
      <c r="C19" s="20">
        <f t="shared" si="0"/>
        <v>-1677.4700000000303</v>
      </c>
      <c r="D19" s="26">
        <f t="shared" si="1"/>
        <v>-4.4794721546625839E-3</v>
      </c>
    </row>
    <row r="20" spans="1:7" x14ac:dyDescent="0.2">
      <c r="A20" s="18">
        <v>46210</v>
      </c>
      <c r="B20" s="20">
        <v>375246.11</v>
      </c>
      <c r="C20" s="20">
        <f t="shared" si="0"/>
        <v>2444.1900000000023</v>
      </c>
      <c r="D20" s="26">
        <f t="shared" si="1"/>
        <v>6.5562698818718594E-3</v>
      </c>
    </row>
    <row r="21" spans="1:7" x14ac:dyDescent="0.2">
      <c r="A21" s="18">
        <v>46211</v>
      </c>
      <c r="B21" s="20">
        <v>377280.97</v>
      </c>
      <c r="C21" s="20">
        <f t="shared" si="0"/>
        <v>2034.859999999986</v>
      </c>
      <c r="D21" s="26">
        <f t="shared" si="1"/>
        <v>5.4227344288791859E-3</v>
      </c>
    </row>
    <row r="22" spans="1:7" x14ac:dyDescent="0.2">
      <c r="A22" s="18">
        <v>46212</v>
      </c>
      <c r="B22" s="20">
        <v>374471.51</v>
      </c>
      <c r="C22" s="20">
        <f t="shared" si="0"/>
        <v>-2809.4599999999627</v>
      </c>
      <c r="D22" s="26">
        <f t="shared" si="1"/>
        <v>-7.4465987510580322E-3</v>
      </c>
    </row>
    <row r="23" spans="1:7" x14ac:dyDescent="0.2">
      <c r="A23" s="18">
        <v>46213</v>
      </c>
      <c r="B23" s="20">
        <v>376468.72</v>
      </c>
      <c r="C23" s="20">
        <f t="shared" si="0"/>
        <v>1997.2099999999627</v>
      </c>
      <c r="D23" s="26">
        <f t="shared" si="1"/>
        <v>5.3334097432404474E-3</v>
      </c>
    </row>
    <row r="24" spans="1:7" x14ac:dyDescent="0.2">
      <c r="A24" s="18">
        <v>46216</v>
      </c>
      <c r="B24" s="20">
        <v>379175.63</v>
      </c>
      <c r="C24" s="20">
        <f t="shared" si="0"/>
        <v>2706.9100000000326</v>
      </c>
      <c r="D24" s="26">
        <f t="shared" si="1"/>
        <v>7.190265369191982E-3</v>
      </c>
    </row>
    <row r="25" spans="1:7" x14ac:dyDescent="0.2">
      <c r="A25" s="18">
        <v>46217</v>
      </c>
      <c r="B25" s="20">
        <v>378852.03</v>
      </c>
      <c r="C25" s="20">
        <f t="shared" si="0"/>
        <v>-323.59999999997672</v>
      </c>
      <c r="D25" s="26">
        <f t="shared" si="1"/>
        <v>-8.5343037473156356E-4</v>
      </c>
    </row>
    <row r="26" spans="1:7" x14ac:dyDescent="0.2">
      <c r="A26" s="18">
        <v>46218</v>
      </c>
      <c r="B26" s="20">
        <v>374437.1</v>
      </c>
      <c r="C26" s="20">
        <f t="shared" si="0"/>
        <v>-4414.9300000000512</v>
      </c>
      <c r="D26" s="26">
        <f t="shared" si="1"/>
        <v>-1.1653441582456483E-2</v>
      </c>
    </row>
    <row r="27" spans="1:7" x14ac:dyDescent="0.2">
      <c r="A27" s="18">
        <v>46219</v>
      </c>
      <c r="B27" s="20">
        <v>372248.26</v>
      </c>
      <c r="C27" s="20">
        <f t="shared" si="0"/>
        <v>-2188.8399999999674</v>
      </c>
      <c r="D27" s="26">
        <f t="shared" si="1"/>
        <v>-5.8456814241963934E-3</v>
      </c>
    </row>
    <row r="28" spans="1:7" x14ac:dyDescent="0.2">
      <c r="A28" s="18">
        <v>46220</v>
      </c>
      <c r="B28" s="20">
        <v>376025.4</v>
      </c>
      <c r="C28" s="20">
        <f t="shared" si="0"/>
        <v>3777.140000000014</v>
      </c>
      <c r="D28" s="26">
        <f t="shared" si="1"/>
        <v>1.0146830504996891E-2</v>
      </c>
    </row>
    <row r="29" spans="1:7" x14ac:dyDescent="0.2">
      <c r="A29" s="18">
        <v>46223</v>
      </c>
      <c r="B29" s="20">
        <v>375009.72</v>
      </c>
      <c r="C29" s="20">
        <f t="shared" si="0"/>
        <v>-1015.6800000000512</v>
      </c>
      <c r="D29" s="26">
        <f t="shared" si="1"/>
        <v>-2.7010941282159429E-3</v>
      </c>
    </row>
    <row r="30" spans="1:7" x14ac:dyDescent="0.2">
      <c r="A30" s="18">
        <v>46224</v>
      </c>
      <c r="B30" s="20">
        <v>375731.28</v>
      </c>
      <c r="C30" s="20">
        <f t="shared" si="0"/>
        <v>721.56000000005588</v>
      </c>
      <c r="D30" s="26">
        <f t="shared" si="1"/>
        <v>1.9241101270656557E-3</v>
      </c>
    </row>
    <row r="31" spans="1:7" x14ac:dyDescent="0.2">
      <c r="A31" s="18">
        <v>46225</v>
      </c>
      <c r="B31" s="20">
        <v>378174.99</v>
      </c>
      <c r="C31" s="20">
        <f t="shared" si="0"/>
        <v>2443.7099999999627</v>
      </c>
      <c r="D31" s="26">
        <f t="shared" si="1"/>
        <v>6.5038769196963386E-3</v>
      </c>
    </row>
    <row r="32" spans="1:7" x14ac:dyDescent="0.2">
      <c r="A32" s="18">
        <v>46226</v>
      </c>
      <c r="B32" s="20">
        <v>380362.45</v>
      </c>
      <c r="C32" s="20">
        <f t="shared" si="0"/>
        <v>2187.460000000021</v>
      </c>
      <c r="D32" s="26">
        <f t="shared" si="1"/>
        <v>5.7842534748266169E-3</v>
      </c>
    </row>
    <row r="33" spans="1:4" x14ac:dyDescent="0.2">
      <c r="A33" s="18">
        <v>46227</v>
      </c>
      <c r="B33" s="20">
        <f>B32-1740-1437</f>
        <v>377185.45</v>
      </c>
      <c r="C33" s="20">
        <f t="shared" si="0"/>
        <v>-3177</v>
      </c>
      <c r="D33" s="26">
        <f t="shared" si="1"/>
        <v>-8.3525595126437945E-3</v>
      </c>
    </row>
    <row r="34" spans="1:4" x14ac:dyDescent="0.2">
      <c r="A34" s="18">
        <v>46230</v>
      </c>
      <c r="B34" s="20">
        <f>B33+322+630+1019-936</f>
        <v>378220.45</v>
      </c>
      <c r="C34" s="20">
        <f t="shared" si="0"/>
        <v>1035</v>
      </c>
      <c r="D34" s="26">
        <f t="shared" si="1"/>
        <v>2.7440082855794143E-3</v>
      </c>
    </row>
    <row r="35" spans="1:4" x14ac:dyDescent="0.2">
      <c r="A35" s="18">
        <v>46231</v>
      </c>
      <c r="B35" s="20">
        <f>B34-951+8872.25-771</f>
        <v>385370.7</v>
      </c>
      <c r="C35" s="20">
        <f t="shared" si="0"/>
        <v>7150.25</v>
      </c>
      <c r="D35" s="26">
        <f t="shared" si="1"/>
        <v>1.8904979886730081E-2</v>
      </c>
    </row>
    <row r="36" spans="1:4" x14ac:dyDescent="0.2">
      <c r="A36" s="18">
        <v>46232</v>
      </c>
      <c r="B36" s="20">
        <f>B35+567+1830-7720+5262</f>
        <v>385309.7</v>
      </c>
      <c r="C36" s="20">
        <f t="shared" si="0"/>
        <v>-61</v>
      </c>
      <c r="D36" s="26">
        <f t="shared" si="1"/>
        <v>-1.5828914860418811E-4</v>
      </c>
    </row>
    <row r="37" spans="1:4" x14ac:dyDescent="0.2">
      <c r="A37" s="18">
        <v>46233</v>
      </c>
      <c r="B37" s="20">
        <f>B36+2088+840+8949-5393</f>
        <v>391793.7</v>
      </c>
      <c r="C37" s="20">
        <f t="shared" si="0"/>
        <v>6484</v>
      </c>
      <c r="D37" s="26">
        <f t="shared" si="1"/>
        <v>1.6828021718633089E-2</v>
      </c>
    </row>
    <row r="38" spans="1:4" x14ac:dyDescent="0.2">
      <c r="A38" s="18">
        <v>46234</v>
      </c>
      <c r="B38" s="20">
        <f>B37-480-2572</f>
        <v>388741.7</v>
      </c>
      <c r="C38" s="20">
        <f t="shared" si="0"/>
        <v>-3052</v>
      </c>
      <c r="D38" s="26">
        <f t="shared" si="1"/>
        <v>-7.7898138739852119E-3</v>
      </c>
    </row>
    <row r="39" spans="1:4" x14ac:dyDescent="0.2">
      <c r="A39" s="18">
        <v>46237</v>
      </c>
      <c r="B39" s="20">
        <f>B38-3000-427</f>
        <v>385314.7</v>
      </c>
      <c r="C39" s="20">
        <f t="shared" si="0"/>
        <v>-3427</v>
      </c>
      <c r="D39" s="26">
        <f t="shared" si="1"/>
        <v>-8.8156223013893288E-3</v>
      </c>
    </row>
    <row r="40" spans="1:4" x14ac:dyDescent="0.2">
      <c r="A40" s="18">
        <v>46238</v>
      </c>
      <c r="B40" s="20">
        <f>B39-2340+453</f>
        <v>383427.7</v>
      </c>
      <c r="C40" s="20">
        <f t="shared" si="0"/>
        <v>-1887</v>
      </c>
      <c r="D40" s="26">
        <f t="shared" si="1"/>
        <v>-4.8972956391230334E-3</v>
      </c>
    </row>
    <row r="41" spans="1:4" x14ac:dyDescent="0.2">
      <c r="A41" s="18">
        <v>46239</v>
      </c>
      <c r="B41" s="20">
        <f>B40+1500-3275</f>
        <v>381652.7</v>
      </c>
      <c r="C41" s="20">
        <f t="shared" si="0"/>
        <v>-1775</v>
      </c>
      <c r="D41" s="26">
        <f t="shared" si="1"/>
        <v>-4.6292951709018416E-3</v>
      </c>
    </row>
    <row r="42" spans="1:4" x14ac:dyDescent="0.2">
      <c r="A42" s="18">
        <v>46240</v>
      </c>
      <c r="B42" s="20">
        <f>B41+2550-1004</f>
        <v>383198.7</v>
      </c>
      <c r="C42" s="20">
        <f t="shared" si="0"/>
        <v>1546</v>
      </c>
      <c r="D42" s="26">
        <f t="shared" si="1"/>
        <v>4.0508032564685117E-3</v>
      </c>
    </row>
    <row r="43" spans="1:4" x14ac:dyDescent="0.2">
      <c r="A43" s="18">
        <v>46241</v>
      </c>
      <c r="B43" s="20">
        <f>B42+840+738</f>
        <v>384776.7</v>
      </c>
      <c r="C43" s="20">
        <f t="shared" si="0"/>
        <v>1578</v>
      </c>
      <c r="D43" s="26">
        <f t="shared" si="1"/>
        <v>4.1179680411233127E-3</v>
      </c>
    </row>
    <row r="44" spans="1:4" x14ac:dyDescent="0.2">
      <c r="A44" s="18">
        <v>46244</v>
      </c>
      <c r="B44" s="20">
        <f>B43+41+540-398-50</f>
        <v>384909.7</v>
      </c>
      <c r="C44" s="20">
        <f t="shared" si="0"/>
        <v>133</v>
      </c>
      <c r="D44" s="26">
        <f t="shared" si="1"/>
        <v>3.4565502536925964E-4</v>
      </c>
    </row>
    <row r="45" spans="1:4" x14ac:dyDescent="0.2">
      <c r="A45" s="18">
        <v>46245</v>
      </c>
      <c r="B45" s="20">
        <f>B44-40-2340-824-1009-1010</f>
        <v>379686.7</v>
      </c>
      <c r="C45" s="20">
        <f t="shared" si="0"/>
        <v>-5223</v>
      </c>
      <c r="D45" s="26">
        <f t="shared" si="1"/>
        <v>-1.3569416411173841E-2</v>
      </c>
    </row>
    <row r="46" spans="1:4" x14ac:dyDescent="0.2">
      <c r="A46" s="18">
        <v>46246</v>
      </c>
      <c r="B46" s="20">
        <f>B45-205-1710-410+2950-212+6683-2764-240</f>
        <v>383778.7</v>
      </c>
      <c r="C46" s="20">
        <f t="shared" si="0"/>
        <v>4092</v>
      </c>
      <c r="D46" s="26">
        <f t="shared" si="1"/>
        <v>1.0777306658358061E-2</v>
      </c>
    </row>
    <row r="47" spans="1:4" x14ac:dyDescent="0.2">
      <c r="A47" s="18">
        <v>46247</v>
      </c>
      <c r="B47" s="20">
        <f>B46-95-1110+960-1500-1040+875+120</f>
        <v>381988.7</v>
      </c>
      <c r="C47" s="20">
        <f t="shared" si="0"/>
        <v>-1790</v>
      </c>
      <c r="D47" s="26">
        <f t="shared" si="1"/>
        <v>-4.6641462905575529E-3</v>
      </c>
    </row>
    <row r="48" spans="1:4" x14ac:dyDescent="0.2">
      <c r="A48" s="18">
        <v>46248</v>
      </c>
      <c r="B48" s="20">
        <f>B47+25-540-1100-7593+350-1166-690</f>
        <v>371274.7</v>
      </c>
      <c r="C48" s="20">
        <f t="shared" si="0"/>
        <v>-10714</v>
      </c>
      <c r="D48" s="26">
        <f t="shared" si="1"/>
        <v>-2.8047950109518945E-2</v>
      </c>
    </row>
    <row r="49" spans="1:4" x14ac:dyDescent="0.2">
      <c r="A49" s="18">
        <v>46251</v>
      </c>
      <c r="B49" s="20">
        <f>B48+95+1620-1380+725+796+220</f>
        <v>373350.7</v>
      </c>
      <c r="C49" s="20">
        <f t="shared" si="0"/>
        <v>2076</v>
      </c>
      <c r="D49" s="26">
        <f t="shared" si="1"/>
        <v>5.5915471751778398E-3</v>
      </c>
    </row>
    <row r="50" spans="1:4" x14ac:dyDescent="0.2">
      <c r="A50" s="18">
        <v>46252</v>
      </c>
      <c r="B50" s="20">
        <f>B49+590+1620+620+1095+826+2690</f>
        <v>380791.7</v>
      </c>
      <c r="C50" s="20">
        <f t="shared" si="0"/>
        <v>7441</v>
      </c>
      <c r="D50" s="26">
        <f t="shared" si="1"/>
        <v>1.9930322884087266E-2</v>
      </c>
    </row>
    <row r="51" spans="1:4" x14ac:dyDescent="0.2">
      <c r="A51" s="18">
        <v>46253</v>
      </c>
      <c r="B51" s="20">
        <f>B50-195+5550+2720-300-3504+1730</f>
        <v>386792.7</v>
      </c>
      <c r="C51" s="20">
        <f t="shared" si="0"/>
        <v>6001</v>
      </c>
      <c r="D51" s="26">
        <f t="shared" si="1"/>
        <v>1.5759272063965678E-2</v>
      </c>
    </row>
    <row r="52" spans="1:4" x14ac:dyDescent="0.2">
      <c r="A52" s="18">
        <v>46254</v>
      </c>
      <c r="B52" s="20">
        <f>B51+155+870-1360+1107.05+1330+1165.8+1267.76</f>
        <v>391328.31</v>
      </c>
      <c r="C52" s="20">
        <f t="shared" si="0"/>
        <v>4535.609999999986</v>
      </c>
      <c r="D52" s="26">
        <f t="shared" si="1"/>
        <v>1.1726203726181973E-2</v>
      </c>
    </row>
    <row r="53" spans="1:4" x14ac:dyDescent="0.2">
      <c r="A53" s="18">
        <v>46255</v>
      </c>
      <c r="B53" s="20">
        <f>B52-445-450-580+585-575-2123</f>
        <v>387740.31</v>
      </c>
      <c r="C53" s="20">
        <f t="shared" si="0"/>
        <v>-3588</v>
      </c>
      <c r="D53" s="26">
        <f t="shared" si="1"/>
        <v>-9.1687718683066913E-3</v>
      </c>
    </row>
    <row r="54" spans="1:4" x14ac:dyDescent="0.2">
      <c r="A54" s="18">
        <v>46258</v>
      </c>
      <c r="B54" s="20">
        <f>B53+105+300+3482+1020+1095+430-311</f>
        <v>393861.31</v>
      </c>
      <c r="C54" s="20">
        <f t="shared" si="0"/>
        <v>6121</v>
      </c>
      <c r="D54" s="26">
        <f t="shared" si="1"/>
        <v>1.5786339057705916E-2</v>
      </c>
    </row>
    <row r="55" spans="1:4" x14ac:dyDescent="0.2">
      <c r="A55" s="18">
        <v>46259</v>
      </c>
      <c r="B55" s="20">
        <f>B54-390+1290+906-402+1017</f>
        <v>396282.31</v>
      </c>
      <c r="C55" s="20">
        <f t="shared" si="0"/>
        <v>2421</v>
      </c>
      <c r="D55" s="26">
        <f t="shared" si="1"/>
        <v>6.1468337674497652E-3</v>
      </c>
    </row>
    <row r="56" spans="1:4" x14ac:dyDescent="0.2">
      <c r="A56" s="18">
        <v>46260</v>
      </c>
      <c r="B56" s="20">
        <f>B55+270-750</f>
        <v>395802.31</v>
      </c>
      <c r="C56" s="20">
        <f t="shared" si="0"/>
        <v>-480</v>
      </c>
      <c r="D56" s="26">
        <f t="shared" si="1"/>
        <v>-1.2112577016117625E-3</v>
      </c>
    </row>
    <row r="57" spans="1:4" x14ac:dyDescent="0.2">
      <c r="A57" s="18">
        <v>46261</v>
      </c>
      <c r="B57" s="20">
        <f>B56+125+690</f>
        <v>396617.31</v>
      </c>
      <c r="C57" s="20">
        <f t="shared" si="0"/>
        <v>815</v>
      </c>
      <c r="D57" s="26">
        <f t="shared" si="1"/>
        <v>2.0591087505275043E-3</v>
      </c>
    </row>
    <row r="58" spans="1:4" x14ac:dyDescent="0.2">
      <c r="A58" s="18">
        <v>46262</v>
      </c>
      <c r="B58" s="20">
        <f>B57+300</f>
        <v>396917.31</v>
      </c>
      <c r="C58" s="20">
        <f t="shared" si="0"/>
        <v>300</v>
      </c>
      <c r="D58" s="26">
        <f t="shared" si="1"/>
        <v>7.5639663836154808E-4</v>
      </c>
    </row>
    <row r="59" spans="1:4" x14ac:dyDescent="0.2">
      <c r="A59" s="18">
        <v>46265</v>
      </c>
      <c r="B59" s="20">
        <f>B58+135+2220-2.59</f>
        <v>399269.72</v>
      </c>
      <c r="C59" s="20">
        <f t="shared" si="0"/>
        <v>2352.4099999999744</v>
      </c>
      <c r="D59" s="26">
        <f t="shared" si="1"/>
        <v>5.9267004505295434E-3</v>
      </c>
    </row>
    <row r="60" spans="1:4" x14ac:dyDescent="0.2">
      <c r="A60" s="18">
        <v>46266</v>
      </c>
      <c r="B60" s="20">
        <f>B59+480-562+1405-1361-623+1800+428</f>
        <v>400836.72</v>
      </c>
      <c r="C60" s="20">
        <f t="shared" si="0"/>
        <v>1567</v>
      </c>
      <c r="D60" s="26">
        <f t="shared" si="1"/>
        <v>3.9246652613676792E-3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Trades</vt:lpstr>
      <vt:lpstr>Daily PnL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2026-09-02T10:54:58Z</dcterms:modified>
  <cp:category/>
  <cp:contentStatus/>
</cp:coreProperties>
</file>