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D2BD4485-84B9-0648-BF09-29D8A9A021DE}" xr6:coauthVersionLast="47" xr6:coauthVersionMax="47" xr10:uidLastSave="{00000000-0000-0000-0000-000000000000}"/>
  <bookViews>
    <workbookView xWindow="-1080" yWindow="-4226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91" i="7" l="1"/>
  <c r="Q91" i="7" s="1"/>
  <c r="P47" i="1"/>
  <c r="P43" i="1"/>
  <c r="G79" i="3" a="1"/>
  <c r="G79" i="3" s="1"/>
  <c r="G78" i="3" a="1"/>
  <c r="G78" i="3" s="1"/>
  <c r="G77" i="3"/>
  <c r="G75" i="3"/>
  <c r="G74" i="3"/>
  <c r="D84" i="3"/>
  <c r="C84" i="3"/>
  <c r="B84" i="3"/>
  <c r="D62" i="1"/>
  <c r="W90" i="7"/>
  <c r="V90" i="7"/>
  <c r="T90" i="7"/>
  <c r="S90" i="7"/>
  <c r="O90" i="7"/>
  <c r="N90" i="7"/>
  <c r="M90" i="7"/>
  <c r="D90" i="7"/>
  <c r="V68" i="1"/>
  <c r="U68" i="1"/>
  <c r="P61" i="1"/>
  <c r="D61" i="1"/>
  <c r="D83" i="3"/>
  <c r="C83" i="3"/>
  <c r="B83" i="3"/>
  <c r="S53" i="1"/>
  <c r="T91" i="7" l="1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60" i="1"/>
  <c r="P60" i="1"/>
  <c r="D60" i="1"/>
  <c r="S59" i="1"/>
  <c r="S58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9" i="1"/>
  <c r="D58" i="1"/>
  <c r="D57" i="1"/>
  <c r="D56" i="1"/>
  <c r="D55" i="1"/>
  <c r="D54" i="1"/>
  <c r="S54" i="1"/>
  <c r="P59" i="1"/>
  <c r="P58" i="1"/>
  <c r="B80" i="3"/>
  <c r="C80" i="3" s="1"/>
  <c r="W87" i="7"/>
  <c r="V87" i="7"/>
  <c r="T87" i="7"/>
  <c r="S87" i="7"/>
  <c r="M87" i="7"/>
  <c r="O87" i="7" s="1"/>
  <c r="B79" i="3"/>
  <c r="P57" i="1"/>
  <c r="P56" i="1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3" i="1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D81" i="3" l="1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69" i="1" l="1"/>
  <c r="E68" i="1"/>
  <c r="D3" i="3"/>
  <c r="U71" i="1"/>
  <c r="U77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<sst xmlns="http://schemas.openxmlformats.org/spreadsheetml/2006/main" count="983" uniqueCount="635">
  <si>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</si>
  <si>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</si>
  <si>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</si>
  <si>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</si>
  <si>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</si>
  <si>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</si>
  <si>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</si>
  <si>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</si>
  <si>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</si>
  <si>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</si>
  <si>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</si>
  <si>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</si>
  <si>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</si>
  <si>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</si>
  <si>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</si>
  <si>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</si>
  <si>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</si>
  <si>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</si>
  <si>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</si>
  <si>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</si>
  <si>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</si>
  <si>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</si>
  <si>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</si>
  <si>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</si>
  <si>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</si>
  <si>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</si>
  <si>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</si>
  <si>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</si>
  <si>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</si>
  <si>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</si>
  <si>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</si>
  <si>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</si>
  <si>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</si>
  <si>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</si>
  <si>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</si>
  <si>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</si>
  <si>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</si>
  <si>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</si>
  <si>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</si>
  <si>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</si>
  <si>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</si>
  <si>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</si>
  <si>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</si>
  <si>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</si>
  <si>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</si>
  <si>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</si>
  <si>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</si>
  <si>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</si>
  <si>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</si>
  <si>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</si>
  <si>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</si>
  <si>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</si>
  <si>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</si>
  <si>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</si>
  <si>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</si>
  <si>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</si>
  <si>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</si>
  <si>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</si>
  <si>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</si>
  <si>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</si>
  <si>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</si>
  <si>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</si>
  <si>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</si>
  <si>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</si>
  <si>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</si>
  <si>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</si>
  <si>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</si>
  <si>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</si>
  <si>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</si>
  <si>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</si>
  <si>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</si>
  <si>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</si>
  <si>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</si>
  <si>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</si>
  <si>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</si>
  <si>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</si>
  <si>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</si>
  <si>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</si>
  <si>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</si>
  <si>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</si>
  <si>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</si>
  <si>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</si>
  <si>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</si>
  <si>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</si>
  <si>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</si>
  <si>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</si>
  <si>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</si>
  <si>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</si>
  <si>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</si>
  <si>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</si>
  <si>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</si>
  <si>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</si>
  <si>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</si>
  <si>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</si>
  <si>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</si>
  <si>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</si>
  <si>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</si>
  <si>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</si>
  <si>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</si>
  <si>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</si>
  <si>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</si>
  <si>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</si>
  <si>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</si>
  <si>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</si>
  <si>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</si>
  <si>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</si>
  <si>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</si>
  <si>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</si>
  <si>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</si>
  <si>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</si>
  <si>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</si>
  <si>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</si>
  <si>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</si>
  <si>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</si>
  <si>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</si>
  <si>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</si>
  <si>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</si>
  <si>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</si>
  <si>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</si>
  <si>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</si>
  <si>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</si>
  <si>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</si>
  <si>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</si>
  <si>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</si>
  <si>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</si>
  <si>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</si>
  <si>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</si>
  <si>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</si>
  <si>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</si>
  <si>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</si>
  <si>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</si>
  <si>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</si>
  <si>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</si>
  <si>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</si>
  <si>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</si>
  <si>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</si>
  <si>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</si>
  <si>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</si>
  <si>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</si>
  <si>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</si>
  <si>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</si>
  <si>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</si>
  <si>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</si>
  <si>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</si>
  <si>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</si>
  <si>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</si>
  <si>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</si>
  <si>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</si>
  <si>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</si>
  <si>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</si>
  <si>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</si>
  <si>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</si>
  <si>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</si>
  <si>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</si>
  <si>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</si>
  <si>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</si>
  <si>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</si>
  <si>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</si>
  <si>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</si>
  <si>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</si>
  <si>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</si>
  <si>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</si>
  <si>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</si>
  <si>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</si>
  <si>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</si>
  <si>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</si>
  <si>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</si>
  <si>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</si>
  <si>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</si>
  <si>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</si>
  <si>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</si>
  <si>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</si>
  <si>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</si>
  <si>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</si>
  <si>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</si>
  <si>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</si>
  <si>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</si>
  <si>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</si>
  <si>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</si>
  <si>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</si>
  <si>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</si>
  <si>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</si>
  <si>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</si>
  <si>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</si>
  <si>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</si>
  <si>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</si>
  <si>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</si>
  <si>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</si>
  <si>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</si>
  <si>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</si>
  <si>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</si>
  <si>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</si>
  <si>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</si>
  <si>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</si>
  <si>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</si>
  <si>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</si>
  <si>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</si>
  <si>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</si>
  <si>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</si>
  <si>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</si>
  <si>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</si>
  <si>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</si>
  <si>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</si>
  <si>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</si>
  <si>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</si>
  <si>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</si>
  <si>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</si>
  <si>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</si>
  <si>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</si>
  <si>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</si>
  <si>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</si>
  <si>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</si>
  <si>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</si>
  <si>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</si>
  <si>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</si>
  <si>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</si>
  <si>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</si>
  <si>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</si>
  <si>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</si>
  <si>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</si>
  <si>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</si>
  <si>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</si>
  <si>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</si>
  <si>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</si>
  <si>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</si>
  <si>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</si>
  <si>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</si>
  <si>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</si>
  <si>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</si>
  <si>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</si>
  <si>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</si>
  <si>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</si>
  <si>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</si>
  <si>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</si>
  <si>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</si>
  <si>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</si>
  <si>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</si>
  <si>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</si>
  <si>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</si>
  <si>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</si>
  <si>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</si>
  <si>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</si>
  <si>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</si>
  <si>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</si>
  <si>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</si>
  <si>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</si>
  <si>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</si>
  <si>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</si>
  <si>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</si>
  <si>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</si>
  <si>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</si>
  <si>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</si>
  <si>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</si>
  <si>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</si>
  <si>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</si>
  <si>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</si>
  <si>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</si>
  <si>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</si>
  <si>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</si>
  <si>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</si>
  <si>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</si>
  <si>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</si>
  <si>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</si>
  <si>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</si>
  <si>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</si>
  <si>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</si>
  <si>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</si>
  <si>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</si>
  <si>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</si>
  <si>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</si>
  <si>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</si>
  <si>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</si>
  <si>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</si>
  <si>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</si>
  <si>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</si>
  <si>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</si>
  <si>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</si>
  <si>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</si>
  <si>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</si>
  <si>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</si>
  <si>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</si>
  <si>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</si>
  <si>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</si>
  <si>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</si>
  <si>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</si>
  <si>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</si>
  <si>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</si>
  <si>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</si>
  <si>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</si>
  <si>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</si>
  <si>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</si>
  <si>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</si>
  <si>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</si>
  <si>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</si>
  <si>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</si>
  <si>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</si>
  <si>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</si>
  <si>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</si>
  <si>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</si>
  <si>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</si>
  <si>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</si>
  <si>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</si>
  <si>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</si>
  <si>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</si>
  <si>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</si>
  <si>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</si>
  <si>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</si>
  <si>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</si>
  <si>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</si>
  <si>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</si>
  <si>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</si>
  <si>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</si>
  <si>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</si>
  <si>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</si>
  <si>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</si>
  <si>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</si>
  <si>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</si>
  <si>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</si>
  <si>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</si>
  <si>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</si>
  <si>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</si>
  <si>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</si>
  <si>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</si>
  <si>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</si>
  <si>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</si>
  <si>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</si>
  <si>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</si>
  <si>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</si>
  <si>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</si>
  <si>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</si>
  <si>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</si>
  <si>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</si>
  <si>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</si>
  <si>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</si>
  <si>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</si>
  <si>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</si>
  <si>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</si>
  <si>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</si>
  <si>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</si>
  <si>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</si>
  <si>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</si>
  <si>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</si>
  <si>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</si>
  <si>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</si>
  <si>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</si>
  <si>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</si>
  <si>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</si>
  <si>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</si>
  <si>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</si>
  <si>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</si>
  <si>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</si>
  <si>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</si>
  <si>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</si>
  <si>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</si>
  <si>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</si>
  <si>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</si>
  <si>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</si>
  <si>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</si>
  <si>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</si>
  <si>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</si>
  <si>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</si>
  <si>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</si>
  <si>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</si>
  <si>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</si>
  <si>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</si>
  <si>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</si>
  <si>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</si>
  <si>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</si>
  <si>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</si>
  <si>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</si>
  <si>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</si>
  <si>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</si>
  <si>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</si>
  <si>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</si>
  <si>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</si>
  <si>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</si>
  <si>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</si>
  <si>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</si>
  <si>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</si>
  <si>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</si>
  <si>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</si>
  <si>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</si>
  <si>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</si>
  <si>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</si>
  <si>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</si>
  <si>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</si>
  <si>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</si>
  <si>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</si>
  <si>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</si>
  <si>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</si>
  <si>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</si>
  <si>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</si>
  <si>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</si>
  <si>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</si>
  <si>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</si>
  <si>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</si>
  <si>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</si>
  <si>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</si>
  <si>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</si>
  <si>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</si>
  <si>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</si>
  <si>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</si>
  <si>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</si>
  <si>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</si>
  <si>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</si>
  <si>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</si>
  <si>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</si>
  <si>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</si>
  <si>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</si>
  <si>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</si>
  <si>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</si>
  <si>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</si>
  <si>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</si>
  <si>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</si>
  <si>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</si>
  <si>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</si>
  <si>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</si>
  <si>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</si>
  <si>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</si>
  <si>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</si>
  <si>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</si>
  <si>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</si>
  <si>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</si>
  <si>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</si>
  <si>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</si>
  <si>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</si>
  <si>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</si>
  <si>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</si>
  <si>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</si>
  <si>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</si>
  <si>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</si>
  <si>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</si>
  <si>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</si>
  <si>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</si>
  <si>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</si>
  <si>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</si>
  <si>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</si>
  <si>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</si>
  <si>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</si>
  <si>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</si>
  <si>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</si>
  <si>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</si>
  <si>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</si>
  <si>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</si>
  <si>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</si>
  <si>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</si>
  <si>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</si>
  <si>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</si>
  <si>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</si>
  <si>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</si>
  <si>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</si>
  <si>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</si>
  <si>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</si>
  <si>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</si>
  <si>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</si>
  <si>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</si>
  <si>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</si>
  <si>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</si>
  <si>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</si>
  <si>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</si>
  <si>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</si>
  <si>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</si>
  <si>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</si>
  <si>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</si>
  <si>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</si>
  <si>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</si>
  <si>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</si>
  <si>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</si>
  <si>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</si>
  <si>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</si>
  <si>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</si>
  <si>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</si>
  <si>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</si>
  <si>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</si>
  <si>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</si>
  <si>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</si>
  <si>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</si>
  <si>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</si>
  <si>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</si>
  <si>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</si>
  <si>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</si>
  <si>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</si>
  <si>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</si>
  <si>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</si>
  <si>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</si>
  <si>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</si>
  <si>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</si>
  <si>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</si>
  <si>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</si>
  <si>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</si>
  <si>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</si>
  <si>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</si>
  <si>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</si>
  <si>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</si>
  <si>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</si>
  <si>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</si>
  <si>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</si>
  <si>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</si>
  <si>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</si>
  <si>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</si>
  <si>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</si>
  <si>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</si>
  <si>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</si>
  <si>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</si>
  <si>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</si>
  <si>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</si>
  <si>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</si>
  <si>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</si>
  <si>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</si>
  <si>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</si>
  <si>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</si>
  <si>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</si>
  <si>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</si>
  <si>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</si>
  <si>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</si>
  <si>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</si>
  <si>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</si>
  <si>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</si>
  <si>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</si>
  <si>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</si>
  <si>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</si>
  <si>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</si>
  <si>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</si>
  <si>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</si>
  <si>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</si>
  <si>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</si>
  <si>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</si>
  <si>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</si>
  <si>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</si>
  <si>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</si>
  <si>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</si>
  <si>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</si>
  <si>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</si>
  <si>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</si>
  <si>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</si>
  <si>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</si>
  <si>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</si>
  <si>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</si>
  <si>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</si>
  <si>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</si>
  <si>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</si>
  <si>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</si>
  <si>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</si>
  <si>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</si>
  <si>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</si>
  <si>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</si>
  <si>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</si>
  <si>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</si>
  <si>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</si>
  <si>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</si>
  <si>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</si>
  <si>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</si>
  <si>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</si>
  <si>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</si>
  <si>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</si>
  <si>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</si>
  <si>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</si>
  <si>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</si>
  <si>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</si>
  <si>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</si>
  <si>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</si>
  <si>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</si>
  <si>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</si>
  <si>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</si>
  <si>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</si>
  <si>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</si>
  <si>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</si>
  <si>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</si>
  <si>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</si>
  <si>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</si>
  <si>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</si>
  <si>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</si>
  <si>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</si>
  <si>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</si>
  <si>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</si>
  <si>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</si>
  <si>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</si>
  <si>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</si>
  <si>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</si>
  <si>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</si>
  <si>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</si>
  <si>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</si>
  <si>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</si>
  <si>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</si>
  <si>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</si>
  <si>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</si>
  <si>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</si>
  <si>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</si>
  <si>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</si>
  <si>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</si>
  <si>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</si>
  <si>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</si>
  <si>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</si>
  <si>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</si>
  <si>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</si>
  <si>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</si>
  <si>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</si>
  <si>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</si>
  <si>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</si>
  <si>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</si>
  <si>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</si>
  <si>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</si>
  <si>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</si>
  <si>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</si>
  <si>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</si>
  <si>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</si>
  <si>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</si>
  <si>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</si>
  <si>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</si>
  <si>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</si>
  <si>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</si>
  <si>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</si>
  <si>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</si>
  <si>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</si>
  <si>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</si>
  <si>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</si>
  <si>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</si>
  <si>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TIP</t>
  </si>
  <si>
    <t>iShares TIPS Bond ETF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</si>
  <si>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</si>
  <si>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</si>
  <si>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</si>
  <si>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</si>
  <si>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</si>
  <si>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</si>
  <si>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</si>
  <si>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</si>
  <si>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</si>
  <si>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VMBS</t>
  </si>
  <si>
    <t>Vanguard Mortgage Backed Securities ETF</t>
  </si>
  <si>
    <t>WAT</t>
  </si>
  <si>
    <t>Waters Corporation</t>
  </si>
  <si>
    <t>TMO</t>
  </si>
  <si>
    <t>Thermo Fisher Scientific</t>
  </si>
  <si>
    <t>6EZ6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</si>
</sst>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"/>
  <sheetViews>
    <sheetView tabSelected="1" zoomScale="110" zoomScaleNormal="110" workbookViewId="0">
      <pane ySplit="1" topLeftCell="A19" activePane="bottomLeft" state="frozen"/>
      <selection activeCell="D1" sqref="D1"/>
      <selection pane="bottomLeft" activeCell="C65" sqref="C65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46295</v>
      </c>
      <c r="D43" s="56">
        <f t="shared" si="5"/>
        <v>9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-600</v>
      </c>
      <c r="M43" s="47">
        <v>161.21</v>
      </c>
      <c r="N43" s="47" t="s">
        <v>72</v>
      </c>
      <c r="O43" s="47">
        <v>165.82</v>
      </c>
      <c r="P43" s="49">
        <f>ABS(O43*L43)</f>
        <v>99492</v>
      </c>
      <c r="Q43" s="47">
        <v>4.88</v>
      </c>
      <c r="R43" s="47" t="s">
        <v>72</v>
      </c>
      <c r="S43" s="50" t="s">
        <v>72</v>
      </c>
      <c r="T43" s="49" t="s">
        <v>72</v>
      </c>
      <c r="U43" s="49" t="s">
        <v>72</v>
      </c>
      <c r="V43" s="33">
        <v>-3660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46295</v>
      </c>
      <c r="D47" s="56">
        <f t="shared" si="5"/>
        <v>7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-450</v>
      </c>
      <c r="M47" s="47">
        <v>265.10000000000002</v>
      </c>
      <c r="N47" s="47" t="s">
        <v>72</v>
      </c>
      <c r="O47" s="47">
        <v>272.67</v>
      </c>
      <c r="P47" s="49">
        <f>ABS(O47*L47)</f>
        <v>122701.5</v>
      </c>
      <c r="Q47" s="47">
        <v>5.1100000000000003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v>-3350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3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60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55">
        <v>46295</v>
      </c>
      <c r="D52" s="56">
        <f t="shared" si="5"/>
        <v>2</v>
      </c>
      <c r="E52" s="47" t="s">
        <v>617</v>
      </c>
      <c r="F52" s="48" t="s">
        <v>618</v>
      </c>
      <c r="G52" s="47" t="s">
        <v>23</v>
      </c>
      <c r="H52" s="48" t="s">
        <v>24</v>
      </c>
      <c r="I52" s="47" t="s">
        <v>48</v>
      </c>
      <c r="J52" s="47" t="s">
        <v>48</v>
      </c>
      <c r="K52" s="47" t="s">
        <v>617</v>
      </c>
      <c r="L52" s="47">
        <v>400</v>
      </c>
      <c r="M52" s="47">
        <v>104.14</v>
      </c>
      <c r="N52" s="47" t="s">
        <v>72</v>
      </c>
      <c r="O52" s="47">
        <v>104.11</v>
      </c>
      <c r="P52" s="49">
        <f t="shared" si="10"/>
        <v>41656</v>
      </c>
      <c r="Q52" s="47">
        <v>1.56</v>
      </c>
      <c r="R52" s="47" t="s">
        <v>72</v>
      </c>
      <c r="S52" s="50" t="s">
        <v>72</v>
      </c>
      <c r="T52" s="49" t="s">
        <v>72</v>
      </c>
      <c r="U52" s="49" t="s">
        <v>72</v>
      </c>
      <c r="V52" s="33">
        <v>-64</v>
      </c>
    </row>
    <row r="53" spans="1:22" x14ac:dyDescent="0.25">
      <c r="A53" s="33">
        <v>48</v>
      </c>
      <c r="B53" s="34">
        <v>46293</v>
      </c>
      <c r="C53" s="34">
        <v>46297</v>
      </c>
      <c r="D53" s="35">
        <f t="shared" si="5"/>
        <v>4</v>
      </c>
      <c r="E53" s="33" t="s">
        <v>619</v>
      </c>
      <c r="F53" s="36" t="s">
        <v>620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619</v>
      </c>
      <c r="L53" s="33">
        <v>-110</v>
      </c>
      <c r="M53" s="33">
        <v>447.99</v>
      </c>
      <c r="N53" s="33">
        <v>466.29</v>
      </c>
      <c r="O53" s="33">
        <v>466.29</v>
      </c>
      <c r="P53" s="39">
        <f t="shared" si="10"/>
        <v>49278.9</v>
      </c>
      <c r="Q53" s="33">
        <v>2.68</v>
      </c>
      <c r="R53" s="33">
        <v>0</v>
      </c>
      <c r="S53" s="40">
        <f t="shared" si="9"/>
        <v>0</v>
      </c>
      <c r="T53" s="39">
        <v>-2013</v>
      </c>
      <c r="U53" s="45">
        <v>-2013</v>
      </c>
    </row>
    <row r="54" spans="1:22" x14ac:dyDescent="0.25">
      <c r="A54" s="33">
        <v>49</v>
      </c>
      <c r="B54" s="34">
        <v>46293</v>
      </c>
      <c r="C54" s="34">
        <v>46295</v>
      </c>
      <c r="D54" s="35">
        <f t="shared" si="5"/>
        <v>2</v>
      </c>
      <c r="E54" s="33" t="s">
        <v>621</v>
      </c>
      <c r="F54" s="36" t="s">
        <v>622</v>
      </c>
      <c r="G54" s="33" t="s">
        <v>23</v>
      </c>
      <c r="H54" s="36" t="s">
        <v>24</v>
      </c>
      <c r="I54" s="33" t="s">
        <v>25</v>
      </c>
      <c r="J54" s="33" t="s">
        <v>25</v>
      </c>
      <c r="K54" s="33" t="s">
        <v>621</v>
      </c>
      <c r="L54" s="33">
        <v>4000</v>
      </c>
      <c r="M54" s="33">
        <v>20.27</v>
      </c>
      <c r="N54" s="33">
        <v>20.21</v>
      </c>
      <c r="O54" s="33">
        <v>20.21</v>
      </c>
      <c r="P54" s="39">
        <f t="shared" si="10"/>
        <v>81080</v>
      </c>
      <c r="Q54" s="33">
        <v>5.4</v>
      </c>
      <c r="R54" s="33">
        <v>0</v>
      </c>
      <c r="S54" s="40">
        <f t="shared" ref="S54" si="11">IF(R54=1, ABS(N54-M54)/M54, 0)</f>
        <v>0</v>
      </c>
      <c r="T54" s="39">
        <v>-214</v>
      </c>
      <c r="U54" s="45">
        <v>-214</v>
      </c>
    </row>
    <row r="55" spans="1:22" x14ac:dyDescent="0.25">
      <c r="A55" s="33">
        <v>50</v>
      </c>
      <c r="B55" s="34">
        <v>46294</v>
      </c>
      <c r="C55" s="55">
        <v>46295</v>
      </c>
      <c r="D55" s="56">
        <f t="shared" si="5"/>
        <v>1</v>
      </c>
      <c r="E55" s="47" t="s">
        <v>623</v>
      </c>
      <c r="F55" s="48" t="s">
        <v>624</v>
      </c>
      <c r="G55" s="47" t="s">
        <v>30</v>
      </c>
      <c r="H55" s="48" t="s">
        <v>625</v>
      </c>
      <c r="I55" s="47" t="s">
        <v>48</v>
      </c>
      <c r="J55" s="47" t="s">
        <v>48</v>
      </c>
      <c r="K55" s="47" t="s">
        <v>623</v>
      </c>
      <c r="L55" s="47">
        <v>200</v>
      </c>
      <c r="M55" s="47">
        <v>280.43</v>
      </c>
      <c r="N55" s="47" t="s">
        <v>72</v>
      </c>
      <c r="O55" s="47">
        <v>282.10000000000002</v>
      </c>
      <c r="P55" s="49">
        <f t="shared" si="10"/>
        <v>56086</v>
      </c>
      <c r="Q55" s="47">
        <v>3.11</v>
      </c>
      <c r="R55" s="47" t="s">
        <v>72</v>
      </c>
      <c r="S55" s="50" t="s">
        <v>72</v>
      </c>
      <c r="T55" s="49" t="s">
        <v>72</v>
      </c>
      <c r="U55" s="49" t="s">
        <v>72</v>
      </c>
      <c r="V55" s="33">
        <v>738</v>
      </c>
    </row>
    <row r="56" spans="1:22" x14ac:dyDescent="0.25">
      <c r="A56" s="33">
        <v>50</v>
      </c>
      <c r="B56" s="34">
        <v>46294</v>
      </c>
      <c r="C56" s="55">
        <v>46295</v>
      </c>
      <c r="D56" s="56">
        <f t="shared" si="5"/>
        <v>1</v>
      </c>
      <c r="E56" s="47" t="s">
        <v>626</v>
      </c>
      <c r="F56" s="48" t="s">
        <v>627</v>
      </c>
      <c r="G56" s="47" t="s">
        <v>30</v>
      </c>
      <c r="H56" s="48" t="s">
        <v>625</v>
      </c>
      <c r="I56" s="47" t="s">
        <v>48</v>
      </c>
      <c r="J56" s="47" t="s">
        <v>48</v>
      </c>
      <c r="K56" s="47" t="s">
        <v>626</v>
      </c>
      <c r="L56" s="47">
        <v>-70</v>
      </c>
      <c r="M56" s="47">
        <v>765.18</v>
      </c>
      <c r="N56" s="47" t="s">
        <v>72</v>
      </c>
      <c r="O56" s="47">
        <v>770.94</v>
      </c>
      <c r="P56" s="49">
        <f t="shared" si="10"/>
        <v>53562.6</v>
      </c>
      <c r="Q56" s="47">
        <v>3.11</v>
      </c>
      <c r="R56" s="47" t="s">
        <v>72</v>
      </c>
      <c r="S56" s="50" t="s">
        <v>72</v>
      </c>
      <c r="T56" s="49" t="s">
        <v>72</v>
      </c>
      <c r="U56" s="49" t="s">
        <v>72</v>
      </c>
      <c r="V56" s="33">
        <v>-990</v>
      </c>
    </row>
    <row r="57" spans="1:22" x14ac:dyDescent="0.25">
      <c r="A57" s="33">
        <v>51</v>
      </c>
      <c r="B57" s="34">
        <v>46294</v>
      </c>
      <c r="C57" s="55">
        <v>46295</v>
      </c>
      <c r="D57" s="56">
        <f t="shared" si="5"/>
        <v>1</v>
      </c>
      <c r="E57" s="47" t="s">
        <v>628</v>
      </c>
      <c r="F57" s="48" t="s">
        <v>629</v>
      </c>
      <c r="G57" s="47" t="s">
        <v>23</v>
      </c>
      <c r="H57" s="48" t="s">
        <v>24</v>
      </c>
      <c r="I57" s="47" t="s">
        <v>48</v>
      </c>
      <c r="J57" s="47" t="s">
        <v>48</v>
      </c>
      <c r="K57" s="47" t="s">
        <v>628</v>
      </c>
      <c r="L57" s="47">
        <v>2000</v>
      </c>
      <c r="M57" s="47">
        <v>44.366999999999997</v>
      </c>
      <c r="N57" s="47" t="s">
        <v>72</v>
      </c>
      <c r="O57" s="47">
        <v>44.48</v>
      </c>
      <c r="P57" s="49">
        <f t="shared" si="10"/>
        <v>88734</v>
      </c>
      <c r="Q57" s="47">
        <v>3.11</v>
      </c>
      <c r="R57" s="47" t="s">
        <v>72</v>
      </c>
      <c r="S57" s="50" t="s">
        <v>72</v>
      </c>
      <c r="T57" s="49" t="s">
        <v>72</v>
      </c>
      <c r="U57" s="49" t="s">
        <v>72</v>
      </c>
      <c r="V57" s="33">
        <v>-413</v>
      </c>
    </row>
    <row r="58" spans="1:22" x14ac:dyDescent="0.25">
      <c r="A58" s="33">
        <v>52</v>
      </c>
      <c r="B58" s="34">
        <v>46295</v>
      </c>
      <c r="C58" s="34">
        <v>46296</v>
      </c>
      <c r="D58" s="35">
        <f t="shared" si="5"/>
        <v>1</v>
      </c>
      <c r="E58" s="33" t="s">
        <v>630</v>
      </c>
      <c r="F58" s="36" t="s">
        <v>631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630</v>
      </c>
      <c r="L58" s="33">
        <v>-100</v>
      </c>
      <c r="M58" s="33">
        <v>447</v>
      </c>
      <c r="N58" s="33">
        <v>434.77</v>
      </c>
      <c r="O58" s="33">
        <v>434.77</v>
      </c>
      <c r="P58" s="39">
        <f t="shared" si="10"/>
        <v>44700</v>
      </c>
      <c r="Q58" s="33">
        <v>1.9</v>
      </c>
      <c r="R58" s="33">
        <v>1</v>
      </c>
      <c r="S58" s="40">
        <f t="shared" ref="S58:S60" si="12">IF(R58=1, ABS(N58-M58)/M58, 0)</f>
        <v>2.7360178970917266E-2</v>
      </c>
      <c r="T58" s="39">
        <v>1222</v>
      </c>
      <c r="U58" s="41">
        <v>1222</v>
      </c>
    </row>
    <row r="59" spans="1:22" x14ac:dyDescent="0.25">
      <c r="A59" s="33">
        <v>53</v>
      </c>
      <c r="B59" s="34">
        <v>46295</v>
      </c>
      <c r="C59" s="34">
        <v>46296</v>
      </c>
      <c r="D59" s="35">
        <f t="shared" si="5"/>
        <v>1</v>
      </c>
      <c r="E59" s="33" t="s">
        <v>632</v>
      </c>
      <c r="F59" s="36" t="s">
        <v>633</v>
      </c>
      <c r="G59" s="33" t="s">
        <v>23</v>
      </c>
      <c r="H59" s="36" t="s">
        <v>24</v>
      </c>
      <c r="I59" s="33" t="s">
        <v>25</v>
      </c>
      <c r="J59" s="33" t="s">
        <v>25</v>
      </c>
      <c r="K59" s="33" t="s">
        <v>632</v>
      </c>
      <c r="L59" s="33">
        <v>-100</v>
      </c>
      <c r="M59" s="33">
        <v>674.15</v>
      </c>
      <c r="N59" s="33">
        <v>666.83</v>
      </c>
      <c r="O59" s="33">
        <v>666.83</v>
      </c>
      <c r="P59" s="39">
        <f t="shared" si="10"/>
        <v>67415</v>
      </c>
      <c r="Q59" s="33">
        <v>3.25</v>
      </c>
      <c r="R59" s="33">
        <v>1</v>
      </c>
      <c r="S59" s="40">
        <f t="shared" si="12"/>
        <v>1.0858117629607559E-2</v>
      </c>
      <c r="T59" s="39">
        <v>880</v>
      </c>
      <c r="U59" s="41">
        <v>880</v>
      </c>
    </row>
    <row r="60" spans="1:22" x14ac:dyDescent="0.25">
      <c r="A60" s="33">
        <v>54</v>
      </c>
      <c r="B60" s="34">
        <v>46296</v>
      </c>
      <c r="C60" s="34">
        <v>46296</v>
      </c>
      <c r="D60" s="35">
        <f t="shared" si="5"/>
        <v>0</v>
      </c>
      <c r="E60" s="33" t="s">
        <v>26</v>
      </c>
      <c r="F60" s="36" t="s">
        <v>27</v>
      </c>
      <c r="G60" s="33" t="s">
        <v>23</v>
      </c>
      <c r="H60" s="36" t="s">
        <v>24</v>
      </c>
      <c r="I60" s="33" t="s">
        <v>25</v>
      </c>
      <c r="J60" s="33" t="s">
        <v>25</v>
      </c>
      <c r="K60" s="33" t="s">
        <v>26</v>
      </c>
      <c r="L60" s="33">
        <v>200</v>
      </c>
      <c r="M60" s="33">
        <v>326.27999999999997</v>
      </c>
      <c r="N60" s="33">
        <v>332.03</v>
      </c>
      <c r="O60" s="33">
        <v>332.03</v>
      </c>
      <c r="P60" s="39">
        <f t="shared" si="10"/>
        <v>65255.999999999993</v>
      </c>
      <c r="Q60" s="33">
        <v>2.59</v>
      </c>
      <c r="R60" s="33">
        <v>1</v>
      </c>
      <c r="S60" s="40">
        <f t="shared" si="12"/>
        <v>1.762290057619223E-2</v>
      </c>
      <c r="T60" s="39">
        <v>1058</v>
      </c>
      <c r="U60" s="41">
        <v>1058</v>
      </c>
    </row>
    <row r="61" spans="1:22" x14ac:dyDescent="0.25">
      <c r="A61" s="33">
        <v>55</v>
      </c>
      <c r="B61" s="34">
        <v>46297</v>
      </c>
      <c r="C61" s="55">
        <v>46297</v>
      </c>
      <c r="D61" s="56">
        <f t="shared" si="5"/>
        <v>0</v>
      </c>
      <c r="E61" s="47" t="s">
        <v>58</v>
      </c>
      <c r="F61" s="48" t="s">
        <v>59</v>
      </c>
      <c r="G61" s="47" t="s">
        <v>23</v>
      </c>
      <c r="H61" s="48" t="s">
        <v>24</v>
      </c>
      <c r="I61" s="47" t="s">
        <v>32</v>
      </c>
      <c r="J61" s="47" t="s">
        <v>532</v>
      </c>
      <c r="K61" s="47" t="s">
        <v>608</v>
      </c>
      <c r="L61" s="47">
        <v>10</v>
      </c>
      <c r="M61" s="47">
        <v>17.91</v>
      </c>
      <c r="N61" s="47" t="s">
        <v>72</v>
      </c>
      <c r="O61" s="47">
        <v>17.68</v>
      </c>
      <c r="P61" s="49">
        <f>ABS(M61*L61)*100</f>
        <v>17910</v>
      </c>
      <c r="Q61" s="47">
        <v>1.88</v>
      </c>
      <c r="R61" s="47" t="s">
        <v>72</v>
      </c>
      <c r="S61" s="50" t="s">
        <v>72</v>
      </c>
      <c r="T61" s="49" t="s">
        <v>72</v>
      </c>
      <c r="U61" s="49" t="s">
        <v>72</v>
      </c>
      <c r="V61" s="33">
        <v>-490</v>
      </c>
    </row>
    <row r="62" spans="1:22" x14ac:dyDescent="0.25">
      <c r="A62" s="33">
        <v>56</v>
      </c>
      <c r="B62" s="34">
        <v>46300</v>
      </c>
      <c r="C62" s="55">
        <v>46300</v>
      </c>
      <c r="D62" s="56">
        <f t="shared" si="5"/>
        <v>0</v>
      </c>
      <c r="E62" s="47" t="s">
        <v>34</v>
      </c>
      <c r="F62" s="48" t="s">
        <v>35</v>
      </c>
      <c r="G62" s="47" t="s">
        <v>23</v>
      </c>
      <c r="H62" s="48" t="s">
        <v>24</v>
      </c>
      <c r="I62" s="47" t="s">
        <v>32</v>
      </c>
      <c r="J62" s="47" t="s">
        <v>530</v>
      </c>
      <c r="K62" s="47" t="s">
        <v>634</v>
      </c>
      <c r="L62" s="47">
        <v>10</v>
      </c>
      <c r="M62" s="47">
        <v>1.1242000000000001</v>
      </c>
      <c r="N62" s="47" t="s">
        <v>72</v>
      </c>
      <c r="O62" s="47">
        <v>1.1255999999999999</v>
      </c>
      <c r="P62" s="49">
        <v>1406000</v>
      </c>
      <c r="Q62" s="47">
        <v>6.44</v>
      </c>
      <c r="R62" s="47" t="s">
        <v>72</v>
      </c>
      <c r="S62" s="50" t="s">
        <v>72</v>
      </c>
      <c r="T62" s="49" t="s">
        <v>72</v>
      </c>
      <c r="U62" s="49" t="s">
        <v>72</v>
      </c>
      <c r="V62" s="33">
        <v>1702</v>
      </c>
    </row>
    <row r="63" spans="1:22" x14ac:dyDescent="0.25">
      <c r="B63" s="34"/>
      <c r="C63" s="34"/>
      <c r="D63" s="35"/>
      <c r="F63" s="36"/>
      <c r="H63" s="36"/>
      <c r="P63" s="39"/>
      <c r="S63" s="40"/>
      <c r="T63" s="39"/>
      <c r="U63" s="41"/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2:22" x14ac:dyDescent="0.25">
      <c r="B65" s="34"/>
      <c r="C65" s="34"/>
      <c r="D65" s="35"/>
      <c r="F65" s="36"/>
      <c r="H65" s="36"/>
      <c r="P65" s="39"/>
      <c r="S65" s="40"/>
      <c r="T65" s="39"/>
      <c r="U65" s="41"/>
    </row>
    <row r="66" spans="2:22" x14ac:dyDescent="0.25">
      <c r="B66" s="34"/>
      <c r="C66" s="34"/>
      <c r="D66" s="35"/>
      <c r="F66" s="36"/>
      <c r="H66" s="36"/>
      <c r="P66" s="39"/>
      <c r="S66" s="40"/>
      <c r="T66" s="39"/>
      <c r="U66" s="41"/>
    </row>
    <row r="67" spans="2:22" x14ac:dyDescent="0.25">
      <c r="F67" s="36"/>
      <c r="H67" s="36"/>
    </row>
    <row r="68" spans="2:22" x14ac:dyDescent="0.25">
      <c r="D68" s="52" t="s">
        <v>103</v>
      </c>
      <c r="E68" s="46">
        <f>AVERAGE(D2:D60)</f>
        <v>5.9491525423728815</v>
      </c>
      <c r="F68" s="36"/>
      <c r="H68" s="36"/>
      <c r="U68" s="39">
        <f>SUM(U2:U66)</f>
        <v>83369.47</v>
      </c>
      <c r="V68" s="39">
        <f>SUM(V2:V66)</f>
        <v>-6527</v>
      </c>
    </row>
    <row r="69" spans="2:22" x14ac:dyDescent="0.25">
      <c r="D69" s="52" t="s">
        <v>104</v>
      </c>
      <c r="E69" s="46">
        <f>AVERAGE(D2:D11,D13,D15:D60)</f>
        <v>4.1228070175438596</v>
      </c>
      <c r="F69" s="36"/>
      <c r="U69" s="53" t="s">
        <v>105</v>
      </c>
      <c r="V69" s="36" t="s">
        <v>106</v>
      </c>
    </row>
    <row r="70" spans="2:22" x14ac:dyDescent="0.25">
      <c r="F70" s="36"/>
      <c r="U70" s="33" t="s">
        <v>107</v>
      </c>
    </row>
    <row r="71" spans="2:22" x14ac:dyDescent="0.25">
      <c r="F71" s="36"/>
      <c r="U71" s="39">
        <f>U68+V68</f>
        <v>76842.47</v>
      </c>
    </row>
    <row r="72" spans="2:22" x14ac:dyDescent="0.25">
      <c r="F72" s="36"/>
    </row>
    <row r="73" spans="2:22" x14ac:dyDescent="0.25">
      <c r="F73" s="36"/>
      <c r="U73" s="36" t="s">
        <v>108</v>
      </c>
    </row>
    <row r="74" spans="2:22" x14ac:dyDescent="0.25">
      <c r="F74" s="36"/>
      <c r="U74" s="39">
        <v>333000</v>
      </c>
    </row>
    <row r="76" spans="2:22" x14ac:dyDescent="0.25">
      <c r="U76" s="33" t="s">
        <v>109</v>
      </c>
    </row>
    <row r="77" spans="2:22" x14ac:dyDescent="0.25">
      <c r="U77" s="54">
        <f>U71/U74</f>
        <v>0.23075816816816816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4"/>
  <sheetViews>
    <sheetView topLeftCell="A46" zoomScale="200" zoomScaleNormal="200" workbookViewId="0">
      <selection activeCell="G78" sqref="G78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4" si="0">B4-B3</f>
        <v>6713.6600000000326</v>
      </c>
      <c r="D4" s="23">
        <f t="shared" ref="D4:D84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AVERAGE(C3:C84)</f>
        <v>962.44012195121911</v>
      </c>
      <c r="I74" s="27">
        <v>996.54432098765392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_xlfn.STDEV.S(C3:C84)</f>
        <v>4107.5274532832163</v>
      </c>
      <c r="I75" s="27">
        <v>4121.4212322668327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3.7195766700547406</v>
      </c>
      <c r="I76" s="28">
        <v>3.8383969439642409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_xlfn.STDEV.S(D2:D84)*SQRT(252)</f>
        <v>0.17700324244459101</v>
      </c>
      <c r="I77" s="29">
        <v>0.17766253922781455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PRODUCT(1+D3:D84)-1</f>
        <v>0.23667342902124866</v>
      </c>
      <c r="I78" s="29">
        <v>0.24207144484233956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PRODUCT(1+D2:D84)^(252/COUNT(D2:D84))-1</f>
        <v>0.90589779785154745</v>
      </c>
      <c r="I79" s="29">
        <v>0.94683213592105586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B83-1800</f>
        <v>412376</v>
      </c>
      <c r="C84" s="5">
        <f t="shared" si="0"/>
        <v>-1800</v>
      </c>
      <c r="D84" s="23">
        <f t="shared" si="1"/>
        <v>-4.3459785212083754E-3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G96" sqref="G96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1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2026-10-05T21:11:58Z</dcterms:modified>
  <cp:category/>
  <cp:contentStatus/>
</cp:coreProperties>
</file>