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97D62673-B86E-4D4E-B910-41A6DC0A101C}" xr6:coauthVersionLast="47" xr6:coauthVersionMax="47" xr10:uidLastSave="{00000000-0000-0000-0000-000000000000}"/>
  <bookViews>
    <workbookView xWindow="0" yWindow="500" windowWidth="35840" windowHeight="207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3" i="1" l="1"/>
  <c r="E52" i="1"/>
  <c r="W85" i="7"/>
  <c r="V85" i="7"/>
  <c r="T85" i="7"/>
  <c r="S85" i="7"/>
  <c r="O85" i="7"/>
  <c r="N85" i="7"/>
  <c r="M85" i="7"/>
  <c r="D85" i="7"/>
  <c r="G70" i="3" a="1"/>
  <c r="G70" i="3" s="1"/>
  <c r="G69" i="3" a="1"/>
  <c r="G69" i="3" s="1"/>
  <c r="G68" i="3"/>
  <c r="G66" i="3"/>
  <c r="G65" i="3"/>
  <c r="D78" i="3"/>
  <c r="C78" i="3"/>
  <c r="B78" i="3"/>
  <c r="U52" i="1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V52" i="1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3" i="1"/>
  <c r="P44" i="1"/>
  <c r="P46" i="1"/>
  <c r="P47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O81" i="7" l="1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55" i="1"/>
  <c r="U61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<sst xmlns="http://schemas.openxmlformats.org/spreadsheetml/2006/main" count="874" uniqueCount="615">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</sst>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1"/>
  <sheetViews>
    <sheetView tabSelected="1" zoomScale="110" zoomScaleNormal="110" workbookViewId="0">
      <pane ySplit="1" topLeftCell="A29" activePane="bottomLeft" state="frozen"/>
      <selection activeCell="D1" sqref="D1"/>
      <selection pane="bottomLeft" activeCell="E54" sqref="E54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50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3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3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3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3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55">
        <v>46290</v>
      </c>
      <c r="D43" s="35">
        <f t="shared" si="5"/>
        <v>4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-200</v>
      </c>
      <c r="M43" s="47">
        <v>156.29</v>
      </c>
      <c r="N43" s="47" t="s">
        <v>72</v>
      </c>
      <c r="O43" s="47">
        <v>154.66</v>
      </c>
      <c r="P43" s="49">
        <f>ABS(M43*L43)</f>
        <v>31258</v>
      </c>
      <c r="Q43" s="47">
        <v>1.02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431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3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6" si="8">IF(R45=1, ABS(N45-M45)/M45, 0)</f>
        <v>6.6957880304817775E-4</v>
      </c>
      <c r="T45" s="33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3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46290</v>
      </c>
      <c r="D47" s="35">
        <f t="shared" si="5"/>
        <v>2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-160</v>
      </c>
      <c r="M47" s="47">
        <v>256.4325</v>
      </c>
      <c r="N47" s="47" t="s">
        <v>72</v>
      </c>
      <c r="O47" s="47">
        <v>258.86</v>
      </c>
      <c r="P47" s="49">
        <f>ABS(M47*L47)</f>
        <v>41029.199999999997</v>
      </c>
      <c r="Q47" s="47">
        <v>2.08</v>
      </c>
      <c r="R47" s="47" t="s">
        <v>72</v>
      </c>
      <c r="S47" s="50" t="s">
        <v>72</v>
      </c>
      <c r="T47" s="47" t="s">
        <v>72</v>
      </c>
      <c r="U47" s="49" t="s">
        <v>72</v>
      </c>
      <c r="V47" s="33">
        <v>686</v>
      </c>
    </row>
    <row r="48" spans="1:22" x14ac:dyDescent="0.25">
      <c r="A48" s="33">
        <v>43</v>
      </c>
      <c r="B48" s="34">
        <v>46288</v>
      </c>
      <c r="C48" s="55">
        <v>46290</v>
      </c>
      <c r="D48" s="35">
        <f t="shared" si="5"/>
        <v>2</v>
      </c>
      <c r="E48" s="47" t="s">
        <v>58</v>
      </c>
      <c r="F48" s="48" t="s">
        <v>59</v>
      </c>
      <c r="G48" s="47" t="s">
        <v>23</v>
      </c>
      <c r="H48" s="48" t="s">
        <v>24</v>
      </c>
      <c r="I48" s="47" t="s">
        <v>32</v>
      </c>
      <c r="J48" s="47" t="s">
        <v>532</v>
      </c>
      <c r="K48" s="47" t="s">
        <v>608</v>
      </c>
      <c r="L48" s="47">
        <v>20</v>
      </c>
      <c r="M48" s="47">
        <v>17.555</v>
      </c>
      <c r="N48" s="47" t="s">
        <v>72</v>
      </c>
      <c r="O48" s="47">
        <v>17.7</v>
      </c>
      <c r="P48" s="49">
        <f>ABS(M48*L48)*100</f>
        <v>35110</v>
      </c>
      <c r="Q48" s="47">
        <v>9.1999999999999993</v>
      </c>
      <c r="R48" s="47" t="s">
        <v>72</v>
      </c>
      <c r="S48" s="50" t="s">
        <v>72</v>
      </c>
      <c r="T48" s="47" t="s">
        <v>72</v>
      </c>
      <c r="U48" s="49" t="s">
        <v>72</v>
      </c>
      <c r="V48" s="33">
        <v>-9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0" si="9">IF(R49=1, ABS(N49-M49)/M49, 0)</f>
        <v>2.0138262699128395E-2</v>
      </c>
      <c r="T49" s="33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3">
        <v>2245</v>
      </c>
      <c r="U50" s="41">
        <v>2245</v>
      </c>
    </row>
    <row r="51" spans="1:22" x14ac:dyDescent="0.25">
      <c r="F51" s="36"/>
      <c r="H51" s="36"/>
    </row>
    <row r="52" spans="1:22" x14ac:dyDescent="0.25">
      <c r="D52" s="52" t="s">
        <v>103</v>
      </c>
      <c r="E52" s="46">
        <f>AVERAGE(D2:D50)</f>
        <v>6.5102040816326534</v>
      </c>
      <c r="F52" s="36"/>
      <c r="H52" s="36"/>
      <c r="U52" s="39">
        <f>SUM(U2:U50)</f>
        <v>82039.47</v>
      </c>
      <c r="V52" s="39">
        <f>SUM(V2:V49)</f>
        <v>1108</v>
      </c>
    </row>
    <row r="53" spans="1:22" x14ac:dyDescent="0.25">
      <c r="D53" s="52" t="s">
        <v>104</v>
      </c>
      <c r="E53" s="46">
        <f>AVERAGE(D2:D11,D13,D15:D50)</f>
        <v>4.3191489361702127</v>
      </c>
      <c r="F53" s="36"/>
      <c r="U53" s="53" t="s">
        <v>105</v>
      </c>
      <c r="V53" s="36" t="s">
        <v>106</v>
      </c>
    </row>
    <row r="54" spans="1:22" x14ac:dyDescent="0.25">
      <c r="F54" s="36"/>
      <c r="U54" s="33" t="s">
        <v>107</v>
      </c>
    </row>
    <row r="55" spans="1:22" x14ac:dyDescent="0.25">
      <c r="F55" s="36"/>
      <c r="U55" s="39">
        <f>U52+V52</f>
        <v>83147.47</v>
      </c>
    </row>
    <row r="56" spans="1:22" x14ac:dyDescent="0.25">
      <c r="F56" s="36"/>
    </row>
    <row r="57" spans="1:22" x14ac:dyDescent="0.25">
      <c r="F57" s="36"/>
      <c r="U57" s="36" t="s">
        <v>108</v>
      </c>
    </row>
    <row r="58" spans="1:22" x14ac:dyDescent="0.25">
      <c r="F58" s="36"/>
      <c r="U58" s="39">
        <v>333000</v>
      </c>
    </row>
    <row r="60" spans="1:22" x14ac:dyDescent="0.25">
      <c r="U60" s="33" t="s">
        <v>109</v>
      </c>
    </row>
    <row r="61" spans="1:22" x14ac:dyDescent="0.25">
      <c r="U61" s="54">
        <f>U55/U58</f>
        <v>0.2496921021021021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8"/>
  <sheetViews>
    <sheetView topLeftCell="A56" zoomScale="200" zoomScaleNormal="200" workbookViewId="0">
      <selection activeCell="G73" sqref="G73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8" si="0">B4-B3</f>
        <v>6713.6600000000326</v>
      </c>
      <c r="D4" s="23">
        <f t="shared" ref="D4:D78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AVERAGE(C3:C78)</f>
        <v>1132.9617105263153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_xlfn.STDEV.S(C3:C78)</f>
        <v>4197.2651860151009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4.2849829088690736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_xlfn.STDEV.S(D2:D78)*SQRT(252)</f>
        <v>0.18130074935190868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PRODUCT(1+D2:D78)-1</f>
        <v>0.25822050884043724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PRODUCT(1+D2:D78)^(252/COUNT(D2:D78))-1</f>
        <v>1.120687461383878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7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</row>
    <row r="75" spans="1:7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</row>
    <row r="76" spans="1:7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</row>
    <row r="77" spans="1:7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</row>
    <row r="78" spans="1:7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58" activePane="bottomLeft" state="frozen"/>
      <selection pane="bottomLeft" activeCell="A85" sqref="A85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85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2">C84/M84</f>
        <v>0.17373466930399903</v>
      </c>
      <c r="O84" s="15">
        <f t="shared" ref="O84" si="23">D84/M84</f>
        <v>0.70148073553693191</v>
      </c>
      <c r="P84" s="15">
        <v>0</v>
      </c>
      <c r="Q84" s="15">
        <v>0</v>
      </c>
      <c r="R84" s="15">
        <v>0</v>
      </c>
      <c r="S84" s="15">
        <f>H84/M84</f>
        <v>8.5801426178327575E-2</v>
      </c>
      <c r="T84" s="15">
        <f t="shared" ref="T84" si="24">I84/M84</f>
        <v>0</v>
      </c>
      <c r="U84" s="15">
        <v>0</v>
      </c>
      <c r="V84" s="16">
        <f>K84/M84</f>
        <v>3.8983168980741542E-2</v>
      </c>
      <c r="W84" s="15">
        <f t="shared" ref="W84" si="25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6">C85/M85</f>
        <v>0.17229199091431283</v>
      </c>
      <c r="O85" s="15">
        <f t="shared" ref="O85" si="27">D85/M85</f>
        <v>0.74261907088599755</v>
      </c>
      <c r="P85" s="15">
        <v>0</v>
      </c>
      <c r="Q85" s="15">
        <v>0</v>
      </c>
      <c r="R85" s="15">
        <v>0</v>
      </c>
      <c r="S85" s="15">
        <f>H85/M85</f>
        <v>8.508893819968967E-2</v>
      </c>
      <c r="T85" s="15">
        <f t="shared" ref="T85" si="28">I85/M85</f>
        <v>0</v>
      </c>
      <c r="U85" s="15">
        <v>0</v>
      </c>
      <c r="V85" s="16">
        <f>K85/M85</f>
        <v>0</v>
      </c>
      <c r="W85" s="15">
        <f t="shared" ref="W85" si="29">L85/M85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2026-09-26T12:10:33Z</dcterms:modified>
  <cp:category/>
  <cp:contentStatus/>
</cp:coreProperties>
</file>