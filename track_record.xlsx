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72532952-AB7C-EC42-8765-472FC711BA93}" xr6:coauthVersionLast="47" xr6:coauthVersionMax="47" xr10:uidLastSave="{00000000-0000-0000-0000-000000000000}"/>
  <bookViews>
    <workbookView xWindow="7440" yWindow="-34040" windowWidth="43180" windowHeight="250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5" i="7" l="1"/>
  <c r="S75" i="7"/>
  <c r="N75" i="7"/>
  <c r="M75" i="7"/>
  <c r="D75" i="7"/>
  <c r="L75" i="7"/>
  <c r="C75" i="7"/>
  <c r="G70" i="3" a="1"/>
  <c r="G70" i="3" s="1"/>
  <c r="G69" i="3" a="1"/>
  <c r="G69" i="3" s="1"/>
  <c r="G68" i="3"/>
  <c r="G66" i="3"/>
  <c r="G65" i="3"/>
  <c r="D68" i="3"/>
  <c r="C68" i="3"/>
  <c r="B68" i="3"/>
  <c r="U40" i="1"/>
  <c r="S38" i="1"/>
  <c r="S37" i="1"/>
  <c r="S34" i="1"/>
  <c r="S33" i="1"/>
  <c r="B67" i="3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7" i="3" l="1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<sst xmlns="http://schemas.openxmlformats.org/spreadsheetml/2006/main" count="334" uniqueCount="149">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</sst>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zoomScale="110" zoomScaleNormal="110" workbookViewId="0">
      <pane ySplit="1" topLeftCell="A7" activePane="bottomLeft" state="frozen"/>
      <selection activeCell="D1" sqref="D1"/>
      <selection pane="bottomLeft" activeCell="P37" sqref="P37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4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46276</v>
      </c>
      <c r="D32" s="31">
        <f t="shared" si="5"/>
        <v>10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49.97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-1055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51">
        <v>46276</v>
      </c>
      <c r="D35" s="31">
        <f t="shared" si="5"/>
        <v>1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52095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266</v>
      </c>
    </row>
    <row r="36" spans="1:22" x14ac:dyDescent="0.25">
      <c r="A36" s="29">
        <v>31</v>
      </c>
      <c r="B36" s="30">
        <v>46275</v>
      </c>
      <c r="C36" s="51">
        <v>46276</v>
      </c>
      <c r="D36" s="31">
        <f t="shared" si="5"/>
        <v>1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-100</v>
      </c>
      <c r="M36" s="43">
        <v>656.66</v>
      </c>
      <c r="N36" s="43" t="s">
        <v>72</v>
      </c>
      <c r="O36" s="43">
        <v>643.87</v>
      </c>
      <c r="P36" s="45">
        <v>64709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677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72040.47</v>
      </c>
      <c r="V40" s="35">
        <f>SUM(V2:V38)</f>
        <v>-112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71928.47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0.21600141141141141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8" si="0">B4-B3</f>
        <v>6713.6600000000326</v>
      </c>
      <c r="D4" s="19">
        <f t="shared" ref="D4:D68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AVERAGE(C3:C68)</f>
        <v>1200.7437878787873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_xlfn.STDEV.S(C3:C68)</f>
        <v>4327.5282120023458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4.4046429676256613</v>
      </c>
    </row>
    <row r="68" spans="1:7" x14ac:dyDescent="0.2">
      <c r="A68" s="22">
        <v>46276</v>
      </c>
      <c r="B68" s="1">
        <f>B67+893</f>
        <v>412705</v>
      </c>
      <c r="C68" s="1">
        <f t="shared" si="0"/>
        <v>893</v>
      </c>
      <c r="D68" s="19">
        <f t="shared" si="1"/>
        <v>2.1684652219945023E-3</v>
      </c>
      <c r="F68" s="21" t="s">
        <v>117</v>
      </c>
      <c r="G68" s="25">
        <f>_xlfn.STDEV.S(D2:D68)*SQRT(252)</f>
        <v>0.18834088862804979</v>
      </c>
    </row>
    <row r="69" spans="1:7" x14ac:dyDescent="0.2">
      <c r="F69" s="21" t="s">
        <v>118</v>
      </c>
      <c r="G69" s="25" cm="1">
        <f t="array" ref="G69">PRODUCT(1+D2:D68)-1</f>
        <v>0.23766006635743686</v>
      </c>
    </row>
    <row r="70" spans="1:7" x14ac:dyDescent="0.2">
      <c r="F70" s="21" t="s">
        <v>119</v>
      </c>
      <c r="G70" s="25" cm="1">
        <f t="array" ref="G70">PRODUCT(1+D2:D68)^(252/COUNT(D2:D68))-1</f>
        <v>1.2299326780676472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tabSelected="1" zoomScale="110" zoomScaleNormal="110" workbookViewId="0">
      <pane ySplit="1" topLeftCell="A36" activePane="bottomLeft" state="frozen"/>
      <selection pane="bottomLeft" activeCell="M79" sqref="M79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5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412705</v>
      </c>
      <c r="C75" s="15">
        <f>64754+151830</f>
        <v>216584</v>
      </c>
      <c r="D75" s="9">
        <f>B75-C75-I75</f>
        <v>170090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412705</v>
      </c>
      <c r="M75" s="11">
        <f t="shared" si="1"/>
        <v>0.52479131583092042</v>
      </c>
      <c r="N75" s="11">
        <f t="shared" si="2"/>
        <v>0.41213457554427496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6.3074108624804642E-2</v>
      </c>
      <c r="T75" s="12">
        <f>K75/L75</f>
        <v>0</v>
      </c>
      <c r="U75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2026-09-11T20:15:14Z</dcterms:modified>
  <cp:category/>
  <cp:contentStatus/>
</cp:coreProperties>
</file>