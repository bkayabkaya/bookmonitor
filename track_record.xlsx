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C30F9D55-F279-7D48-BE02-D4CDD77C66B6}" xr6:coauthVersionLast="47" xr6:coauthVersionMax="47" xr10:uidLastSave="{00000000-0000-0000-0000-000000000000}"/>
  <bookViews>
    <workbookView xWindow="7060" yWindow="-34040" windowWidth="45120" windowHeight="2504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80" i="7" l="1"/>
  <c r="S80" i="7"/>
  <c r="N80" i="7"/>
  <c r="M80" i="7"/>
  <c r="L80" i="7"/>
  <c r="D80" i="7"/>
  <c r="B73" i="3"/>
  <c r="C73" i="3" s="1"/>
  <c r="G65" i="3" s="1"/>
  <c r="S36" i="1"/>
  <c r="V42" i="1"/>
  <c r="U42" i="1"/>
  <c r="D40" i="1"/>
  <c r="D73" i="3" l="1"/>
  <c r="G66" i="3"/>
  <c r="S32" i="1"/>
  <c r="B72" i="3"/>
  <c r="D79" i="7"/>
  <c r="C72" i="3"/>
  <c r="D72" i="3" s="1"/>
  <c r="B71" i="3"/>
  <c r="U78" i="7"/>
  <c r="C71" i="3"/>
  <c r="S78" i="7"/>
  <c r="N78" i="7"/>
  <c r="M78" i="7"/>
  <c r="L78" i="7"/>
  <c r="D78" i="7"/>
  <c r="B78" i="7"/>
  <c r="D39" i="1"/>
  <c r="T77" i="7"/>
  <c r="S77" i="7"/>
  <c r="N77" i="7"/>
  <c r="M77" i="7"/>
  <c r="L77" i="7"/>
  <c r="D77" i="7"/>
  <c r="D70" i="3"/>
  <c r="C70" i="3"/>
  <c r="B70" i="3"/>
  <c r="L79" i="7" l="1"/>
  <c r="G69" i="3" a="1"/>
  <c r="G69" i="3" s="1"/>
  <c r="G70" i="3" a="1"/>
  <c r="G70" i="3" s="1"/>
  <c r="G68" i="3"/>
  <c r="D71" i="3"/>
  <c r="T76" i="7"/>
  <c r="S76" i="7"/>
  <c r="N76" i="7"/>
  <c r="M76" i="7"/>
  <c r="L76" i="7"/>
  <c r="D76" i="7"/>
  <c r="S35" i="1"/>
  <c r="U79" i="7" l="1"/>
  <c r="S79" i="7"/>
  <c r="M79" i="7"/>
  <c r="N79" i="7"/>
  <c r="D75" i="7"/>
  <c r="N75" i="7" s="1"/>
  <c r="L75" i="7"/>
  <c r="T75" i="7" s="1"/>
  <c r="C75" i="7"/>
  <c r="S38" i="1"/>
  <c r="S37" i="1"/>
  <c r="S34" i="1"/>
  <c r="S33" i="1"/>
  <c r="T74" i="7"/>
  <c r="S74" i="7"/>
  <c r="L74" i="7"/>
  <c r="N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L61" i="7"/>
  <c r="U61" i="7" s="1"/>
  <c r="L59" i="7"/>
  <c r="U59" i="7" s="1"/>
  <c r="L53" i="7"/>
  <c r="U53" i="7" s="1"/>
  <c r="L24" i="7"/>
  <c r="U24" i="7" s="1"/>
  <c r="D70" i="7"/>
  <c r="L70" i="7" s="1"/>
  <c r="N70" i="7" s="1"/>
  <c r="D69" i="7"/>
  <c r="L69" i="7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7" i="3" l="1"/>
  <c r="S75" i="7"/>
  <c r="M75" i="7"/>
  <c r="M74" i="7"/>
  <c r="Q24" i="7"/>
  <c r="R24" i="7"/>
  <c r="M70" i="7"/>
  <c r="R61" i="7"/>
  <c r="P59" i="7"/>
  <c r="R59" i="7"/>
  <c r="L71" i="7"/>
  <c r="M71" i="7" s="1"/>
  <c r="S59" i="7"/>
  <c r="S61" i="7"/>
  <c r="M61" i="7"/>
  <c r="O61" i="7"/>
  <c r="Q53" i="7"/>
  <c r="P61" i="7"/>
  <c r="R53" i="7"/>
  <c r="S53" i="7"/>
  <c r="L73" i="7"/>
  <c r="M73" i="7" s="1"/>
  <c r="L72" i="7"/>
  <c r="M72" i="7" s="1"/>
  <c r="S30" i="1"/>
  <c r="S29" i="1"/>
  <c r="S19" i="1"/>
  <c r="S31" i="1"/>
  <c r="C67" i="3" l="1"/>
  <c r="D67" i="3" s="1"/>
  <c r="B68" i="3"/>
  <c r="N71" i="7"/>
  <c r="N73" i="7"/>
  <c r="N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D3" i="3" l="1"/>
  <c r="E42" i="1"/>
  <c r="E43" i="1"/>
  <c r="U45" i="1"/>
  <c r="U51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  <c r="G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<sst xmlns="http://schemas.openxmlformats.org/spreadsheetml/2006/main" count="797" uniqueCount="595">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</sst>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1"/>
  <sheetViews>
    <sheetView tabSelected="1" zoomScale="110" zoomScaleNormal="110" workbookViewId="0">
      <pane ySplit="1" topLeftCell="A6" activePane="bottomLeft" state="frozen"/>
      <selection activeCell="D1" sqref="D1"/>
      <selection pane="bottomLeft" activeCell="B46" sqref="B46"/>
    </sheetView>
  </sheetViews>
  <sheetFormatPr baseColWidth="10" defaultColWidth="9.1640625" defaultRowHeight="21" x14ac:dyDescent="0.25"/>
  <cols>
    <col min="1" max="1" width="8.1640625" style="33" bestFit="1" customWidth="1"/>
    <col min="2" max="3" width="14.1640625" style="51" bestFit="1" customWidth="1"/>
    <col min="4" max="4" width="16.5" style="46" customWidth="1"/>
    <col min="5" max="5" width="7.33203125" style="33" bestFit="1" customWidth="1"/>
    <col min="6" max="6" width="43.33203125" style="33" bestFit="1" customWidth="1"/>
    <col min="7" max="7" width="13.6640625" style="33" bestFit="1" customWidth="1"/>
    <col min="8" max="8" width="31.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5.832031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3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37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123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3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530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3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123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3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531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3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530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3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37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37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123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3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37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37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532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3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531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3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37">
        <v>4149.45</v>
      </c>
      <c r="U16" s="44">
        <v>4149.45</v>
      </c>
    </row>
    <row r="17" spans="1:21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R17" s="33">
        <v>1</v>
      </c>
      <c r="S17" s="40">
        <f t="shared" si="3"/>
        <v>4.9999102817154174E-2</v>
      </c>
      <c r="T17" s="33">
        <v>11150</v>
      </c>
      <c r="U17" s="41">
        <v>11150</v>
      </c>
    </row>
    <row r="18" spans="1:21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R18" s="33">
        <v>1</v>
      </c>
      <c r="S18" s="40">
        <f t="shared" si="3"/>
        <v>2.0001183501982336E-2</v>
      </c>
      <c r="T18" s="33">
        <v>2033</v>
      </c>
      <c r="U18" s="41">
        <v>2033</v>
      </c>
    </row>
    <row r="19" spans="1:21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3">
        <v>177</v>
      </c>
      <c r="U19" s="41">
        <v>177</v>
      </c>
    </row>
    <row r="20" spans="1:21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533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3">
        <v>4060</v>
      </c>
      <c r="U20" s="41">
        <v>4060</v>
      </c>
    </row>
    <row r="21" spans="1:21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3">
        <v>1420</v>
      </c>
      <c r="U21" s="41">
        <v>0</v>
      </c>
    </row>
    <row r="22" spans="1:21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534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3">
        <v>1418</v>
      </c>
      <c r="U22" s="41">
        <v>2838</v>
      </c>
    </row>
    <row r="23" spans="1:21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531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3">
        <v>6742</v>
      </c>
      <c r="U23" s="41">
        <v>6742</v>
      </c>
    </row>
    <row r="24" spans="1:21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530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3">
        <v>1245</v>
      </c>
      <c r="U24" s="41">
        <v>1245</v>
      </c>
    </row>
    <row r="25" spans="1:21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530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6" si="4">IF(R25=1, ABS(N25-M25)/M25, 0)</f>
        <v>3.9539800653504951E-3</v>
      </c>
      <c r="T25" s="33">
        <v>1710</v>
      </c>
      <c r="U25" s="41">
        <v>1710</v>
      </c>
    </row>
    <row r="26" spans="1:21" x14ac:dyDescent="0.25">
      <c r="A26" s="33">
        <v>21</v>
      </c>
      <c r="B26" s="34">
        <v>46258</v>
      </c>
      <c r="C26" s="34">
        <v>46259</v>
      </c>
      <c r="D26" s="35">
        <f t="shared" ref="D26:D40" si="5">C26-B26</f>
        <v>1</v>
      </c>
      <c r="E26" s="33" t="s">
        <v>88</v>
      </c>
      <c r="F26" s="36" t="s">
        <v>89</v>
      </c>
      <c r="G26" s="33" t="s">
        <v>23</v>
      </c>
      <c r="H26" s="36" t="s">
        <v>24</v>
      </c>
      <c r="I26" s="33" t="s">
        <v>32</v>
      </c>
      <c r="J26" s="33" t="s">
        <v>123</v>
      </c>
      <c r="K26" s="33" t="s">
        <v>90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3">
        <v>715</v>
      </c>
      <c r="U26" s="41">
        <v>715</v>
      </c>
    </row>
    <row r="27" spans="1:21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91</v>
      </c>
      <c r="F27" s="36" t="s">
        <v>92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91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3">
        <v>3498</v>
      </c>
      <c r="U27" s="41">
        <v>3498</v>
      </c>
    </row>
    <row r="28" spans="1:21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93</v>
      </c>
      <c r="F28" s="36" t="s">
        <v>94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93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3">
        <v>1809</v>
      </c>
      <c r="U28" s="41">
        <v>1809</v>
      </c>
    </row>
    <row r="29" spans="1:21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95</v>
      </c>
      <c r="F29" s="36" t="s">
        <v>96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95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3">
        <v>2891</v>
      </c>
      <c r="U29" s="41">
        <v>2891</v>
      </c>
    </row>
    <row r="30" spans="1:21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97</v>
      </c>
      <c r="F30" s="36" t="s">
        <v>98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97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3">
        <v>-642</v>
      </c>
      <c r="U30" s="45">
        <v>-642</v>
      </c>
    </row>
    <row r="31" spans="1:21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99</v>
      </c>
      <c r="F31" s="36" t="s">
        <v>100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99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3">
        <v>4108</v>
      </c>
      <c r="U31" s="41">
        <v>4108</v>
      </c>
    </row>
    <row r="32" spans="1:21" x14ac:dyDescent="0.25">
      <c r="A32" s="33">
        <v>27</v>
      </c>
      <c r="B32" s="34">
        <v>46266</v>
      </c>
      <c r="C32" s="34">
        <v>46283</v>
      </c>
      <c r="D32" s="35">
        <f t="shared" si="5"/>
        <v>17</v>
      </c>
      <c r="E32" s="33" t="s">
        <v>101</v>
      </c>
      <c r="F32" s="36" t="s">
        <v>102</v>
      </c>
      <c r="G32" s="33" t="s">
        <v>23</v>
      </c>
      <c r="H32" s="36" t="s">
        <v>24</v>
      </c>
      <c r="I32" s="33" t="s">
        <v>25</v>
      </c>
      <c r="J32" s="33" t="s">
        <v>25</v>
      </c>
      <c r="K32" s="33" t="s">
        <v>101</v>
      </c>
      <c r="L32" s="33">
        <v>-8000</v>
      </c>
      <c r="M32" s="33">
        <v>50.59</v>
      </c>
      <c r="N32" s="33">
        <v>49.67</v>
      </c>
      <c r="O32" s="33">
        <v>49.67</v>
      </c>
      <c r="P32" s="39">
        <v>397331</v>
      </c>
      <c r="Q32" s="33">
        <v>45.99</v>
      </c>
      <c r="R32" s="33">
        <v>1</v>
      </c>
      <c r="S32" s="40">
        <f t="shared" si="4"/>
        <v>1.8185412136785959E-2</v>
      </c>
      <c r="T32" s="33">
        <v>7389</v>
      </c>
      <c r="U32" s="41">
        <v>7389</v>
      </c>
    </row>
    <row r="33" spans="1:22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581</v>
      </c>
      <c r="F33" s="36" t="s">
        <v>582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581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3">
        <v>2247</v>
      </c>
      <c r="U33" s="41">
        <v>2247</v>
      </c>
    </row>
    <row r="34" spans="1:22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99</v>
      </c>
      <c r="F34" s="36" t="s">
        <v>100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99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3">
        <v>1253</v>
      </c>
      <c r="U34" s="41">
        <v>1253</v>
      </c>
    </row>
    <row r="35" spans="1:22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583</v>
      </c>
      <c r="F35" s="36" t="s">
        <v>584</v>
      </c>
      <c r="G35" s="33" t="s">
        <v>23</v>
      </c>
      <c r="H35" s="36" t="s">
        <v>24</v>
      </c>
      <c r="I35" s="33" t="s">
        <v>32</v>
      </c>
      <c r="J35" s="33" t="s">
        <v>534</v>
      </c>
      <c r="K35" s="33" t="s">
        <v>583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3">
        <v>141</v>
      </c>
      <c r="U35" s="41">
        <v>141</v>
      </c>
    </row>
    <row r="36" spans="1:22" x14ac:dyDescent="0.25">
      <c r="A36" s="33">
        <v>31</v>
      </c>
      <c r="B36" s="34">
        <v>46275</v>
      </c>
      <c r="C36" s="34">
        <v>46283</v>
      </c>
      <c r="D36" s="35">
        <f t="shared" si="5"/>
        <v>8</v>
      </c>
      <c r="E36" s="33" t="s">
        <v>56</v>
      </c>
      <c r="F36" s="36" t="s">
        <v>585</v>
      </c>
      <c r="G36" s="33" t="s">
        <v>23</v>
      </c>
      <c r="H36" s="36" t="s">
        <v>24</v>
      </c>
      <c r="I36" s="33" t="s">
        <v>25</v>
      </c>
      <c r="J36" s="33" t="s">
        <v>25</v>
      </c>
      <c r="K36" s="33" t="s">
        <v>56</v>
      </c>
      <c r="L36" s="33">
        <v>-280</v>
      </c>
      <c r="M36" s="33">
        <v>674.59</v>
      </c>
      <c r="N36" s="33">
        <v>688</v>
      </c>
      <c r="O36" s="33">
        <v>688</v>
      </c>
      <c r="P36" s="39">
        <v>188496</v>
      </c>
      <c r="Q36" s="33">
        <v>4.5</v>
      </c>
      <c r="R36" s="33">
        <v>0</v>
      </c>
      <c r="S36" s="40">
        <f t="shared" si="4"/>
        <v>0</v>
      </c>
      <c r="T36" s="33">
        <v>-3825</v>
      </c>
      <c r="U36" s="45">
        <v>-3825</v>
      </c>
    </row>
    <row r="37" spans="1:22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586</v>
      </c>
      <c r="F37" s="36" t="s">
        <v>587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586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38" si="6">IF(R37=1, ABS(N37-M37)/M37, 0)</f>
        <v>1.2137203166226873E-2</v>
      </c>
      <c r="T37" s="33">
        <v>345</v>
      </c>
      <c r="U37" s="41">
        <v>345</v>
      </c>
    </row>
    <row r="38" spans="1:22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588</v>
      </c>
      <c r="F38" s="36" t="s">
        <v>589</v>
      </c>
      <c r="G38" s="33" t="s">
        <v>23</v>
      </c>
      <c r="H38" s="36" t="s">
        <v>24</v>
      </c>
      <c r="I38" s="33" t="s">
        <v>32</v>
      </c>
      <c r="J38" s="33" t="s">
        <v>121</v>
      </c>
      <c r="K38" s="33" t="s">
        <v>588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3">
        <v>220</v>
      </c>
      <c r="U38" s="41">
        <v>220</v>
      </c>
    </row>
    <row r="39" spans="1:22" x14ac:dyDescent="0.25">
      <c r="A39" s="33">
        <v>34</v>
      </c>
      <c r="B39" s="34">
        <v>46281</v>
      </c>
      <c r="C39" s="55">
        <v>46282</v>
      </c>
      <c r="D39" s="35">
        <f t="shared" si="5"/>
        <v>1</v>
      </c>
      <c r="E39" s="47" t="s">
        <v>591</v>
      </c>
      <c r="F39" s="48" t="s">
        <v>592</v>
      </c>
      <c r="G39" s="47" t="s">
        <v>23</v>
      </c>
      <c r="H39" s="48" t="s">
        <v>24</v>
      </c>
      <c r="I39" s="47" t="s">
        <v>48</v>
      </c>
      <c r="J39" s="47" t="s">
        <v>48</v>
      </c>
      <c r="K39" s="47" t="s">
        <v>591</v>
      </c>
      <c r="L39" s="47">
        <v>1000</v>
      </c>
      <c r="M39" s="47">
        <v>44.8</v>
      </c>
      <c r="N39" s="47" t="s">
        <v>72</v>
      </c>
      <c r="O39" s="47">
        <v>45.66</v>
      </c>
      <c r="P39" s="49">
        <v>44000</v>
      </c>
      <c r="Q39" s="47">
        <v>5.3</v>
      </c>
      <c r="R39" s="47" t="s">
        <v>72</v>
      </c>
      <c r="S39" s="50" t="s">
        <v>72</v>
      </c>
      <c r="T39" s="47" t="s">
        <v>72</v>
      </c>
      <c r="U39" s="49" t="s">
        <v>72</v>
      </c>
      <c r="V39" s="33">
        <v>885</v>
      </c>
    </row>
    <row r="40" spans="1:22" x14ac:dyDescent="0.25">
      <c r="A40" s="33">
        <v>35</v>
      </c>
      <c r="B40" s="34">
        <v>46283</v>
      </c>
      <c r="C40" s="55">
        <v>46283</v>
      </c>
      <c r="D40" s="35">
        <f t="shared" si="5"/>
        <v>0</v>
      </c>
      <c r="E40" s="47" t="s">
        <v>593</v>
      </c>
      <c r="F40" s="48" t="s">
        <v>594</v>
      </c>
      <c r="G40" s="47" t="s">
        <v>23</v>
      </c>
      <c r="H40" s="48" t="s">
        <v>24</v>
      </c>
      <c r="I40" s="47" t="s">
        <v>25</v>
      </c>
      <c r="J40" s="47" t="s">
        <v>25</v>
      </c>
      <c r="K40" s="47" t="s">
        <v>593</v>
      </c>
      <c r="L40" s="47">
        <v>500</v>
      </c>
      <c r="M40" s="47">
        <v>36.01</v>
      </c>
      <c r="N40" s="47" t="s">
        <v>72</v>
      </c>
      <c r="O40" s="47">
        <v>35.590000000000003</v>
      </c>
      <c r="P40" s="49">
        <v>17795</v>
      </c>
      <c r="Q40" s="47">
        <v>1.25</v>
      </c>
      <c r="R40" s="47" t="s">
        <v>72</v>
      </c>
      <c r="S40" s="50" t="s">
        <v>72</v>
      </c>
      <c r="T40" s="47" t="s">
        <v>72</v>
      </c>
      <c r="U40" s="49" t="s">
        <v>72</v>
      </c>
      <c r="V40" s="33">
        <v>-211</v>
      </c>
    </row>
    <row r="41" spans="1:22" x14ac:dyDescent="0.25">
      <c r="F41" s="36"/>
      <c r="H41" s="36"/>
    </row>
    <row r="42" spans="1:22" x14ac:dyDescent="0.25">
      <c r="D42" s="52" t="s">
        <v>103</v>
      </c>
      <c r="E42" s="46">
        <f>AVERAGE(D2:D31)</f>
        <v>8.5333333333333332</v>
      </c>
      <c r="F42" s="36"/>
      <c r="H42" s="36"/>
      <c r="U42" s="39">
        <f>SUM(U2:U40)</f>
        <v>75745.47</v>
      </c>
      <c r="V42" s="39">
        <f>SUM(V2:V40)</f>
        <v>674</v>
      </c>
    </row>
    <row r="43" spans="1:22" x14ac:dyDescent="0.25">
      <c r="D43" s="52" t="s">
        <v>104</v>
      </c>
      <c r="E43" s="46">
        <f>AVERAGE(D2:D11,D13,D15:D31)</f>
        <v>5</v>
      </c>
      <c r="F43" s="36"/>
      <c r="U43" s="53" t="s">
        <v>105</v>
      </c>
      <c r="V43" s="36" t="s">
        <v>106</v>
      </c>
    </row>
    <row r="44" spans="1:22" x14ac:dyDescent="0.25">
      <c r="F44" s="36"/>
      <c r="U44" s="33" t="s">
        <v>107</v>
      </c>
    </row>
    <row r="45" spans="1:22" x14ac:dyDescent="0.25">
      <c r="F45" s="36"/>
      <c r="U45" s="39">
        <f>U42+V42</f>
        <v>76419.47</v>
      </c>
    </row>
    <row r="46" spans="1:22" x14ac:dyDescent="0.25">
      <c r="F46" s="36"/>
    </row>
    <row r="47" spans="1:22" x14ac:dyDescent="0.25">
      <c r="F47" s="36"/>
      <c r="U47" s="36" t="s">
        <v>108</v>
      </c>
    </row>
    <row r="48" spans="1:22" x14ac:dyDescent="0.25">
      <c r="F48" s="36"/>
      <c r="U48" s="39">
        <v>333000</v>
      </c>
    </row>
    <row r="50" spans="21:21" x14ac:dyDescent="0.25">
      <c r="U50" s="33" t="s">
        <v>109</v>
      </c>
    </row>
    <row r="51" spans="21:21" x14ac:dyDescent="0.25">
      <c r="U51" s="54">
        <f>U45/U48</f>
        <v>0.22948789789789789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3"/>
  <sheetViews>
    <sheetView topLeftCell="A47" zoomScale="200" zoomScaleNormal="200" workbookViewId="0">
      <selection activeCell="G73" sqref="G73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110</v>
      </c>
      <c r="B1" s="5" t="s">
        <v>111</v>
      </c>
      <c r="C1" s="22" t="s">
        <v>112</v>
      </c>
      <c r="D1" s="23" t="s">
        <v>113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73" si="0">B4-B3</f>
        <v>6713.6600000000326</v>
      </c>
      <c r="D4" s="23">
        <f t="shared" ref="D4:D73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7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  <c r="F65" s="25" t="s">
        <v>114</v>
      </c>
      <c r="G65" s="27">
        <f>AVERAGE(C3:C73)</f>
        <v>1132.6632394366193</v>
      </c>
    </row>
    <row r="66" spans="1:7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  <c r="F66" s="25" t="s">
        <v>115</v>
      </c>
      <c r="G66" s="27">
        <f>_xlfn.STDEV.S(C3:C73)</f>
        <v>4298.6584737725461</v>
      </c>
    </row>
    <row r="67" spans="1:7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  <c r="F67" s="25" t="s">
        <v>116</v>
      </c>
      <c r="G67" s="28">
        <f>(G65/G66)*SQRT(252)</f>
        <v>4.1828099659717246</v>
      </c>
    </row>
    <row r="68" spans="1:7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  <c r="F68" s="25" t="s">
        <v>117</v>
      </c>
      <c r="G68" s="29">
        <f>_xlfn.STDEV.S(D2:D73)*SQRT(252)</f>
        <v>0.18604762485289389</v>
      </c>
    </row>
    <row r="69" spans="1:7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  <c r="F69" s="25" t="s">
        <v>118</v>
      </c>
      <c r="G69" s="29" cm="1">
        <f t="array" ref="G69">PRODUCT(1+D2:D73)-1</f>
        <v>0.24116877664114611</v>
      </c>
    </row>
    <row r="70" spans="1:7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  <c r="F70" s="25" t="s">
        <v>119</v>
      </c>
      <c r="G70" s="29" cm="1">
        <f t="array" ref="G70">PRODUCT(1+D2:D73)^(252/COUNT(D2:D73))-1</f>
        <v>1.1301390115314884</v>
      </c>
    </row>
    <row r="71" spans="1:7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7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7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U1048543"/>
  <sheetViews>
    <sheetView zoomScale="110" zoomScaleNormal="110" workbookViewId="0">
      <pane ySplit="1" topLeftCell="A46" activePane="bottomLeft" state="frozen"/>
      <selection pane="bottomLeft" activeCell="B81" sqref="B81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0" width="9.33203125" style="13" customWidth="1"/>
    <col min="11" max="11" width="9.33203125" style="18" bestFit="1" customWidth="1"/>
    <col min="12" max="12" width="15.83203125" style="21" bestFit="1" customWidth="1"/>
    <col min="13" max="13" width="18" style="17" bestFit="1" customWidth="1"/>
    <col min="14" max="14" width="16.33203125" style="17" bestFit="1" customWidth="1"/>
    <col min="15" max="15" width="18.33203125" style="16" bestFit="1" customWidth="1"/>
    <col min="16" max="16" width="20.5" style="16" bestFit="1" customWidth="1"/>
    <col min="17" max="17" width="16.6640625" style="16" bestFit="1" customWidth="1"/>
    <col min="18" max="18" width="20.33203125" style="16" bestFit="1" customWidth="1"/>
    <col min="19" max="19" width="17.1640625" style="16" bestFit="1" customWidth="1"/>
    <col min="20" max="20" width="17.1640625" style="16" customWidth="1"/>
    <col min="21" max="21" width="14.83203125" style="17" bestFit="1" customWidth="1"/>
    <col min="22" max="16384" width="9.1640625" style="18"/>
  </cols>
  <sheetData>
    <row r="1" spans="1:21" s="8" customFormat="1" x14ac:dyDescent="0.25">
      <c r="A1" s="6" t="s">
        <v>110</v>
      </c>
      <c r="B1" s="6" t="s">
        <v>523</v>
      </c>
      <c r="C1" s="7" t="s">
        <v>524</v>
      </c>
      <c r="D1" s="8" t="s">
        <v>525</v>
      </c>
      <c r="E1" s="8" t="s">
        <v>530</v>
      </c>
      <c r="F1" s="8" t="s">
        <v>123</v>
      </c>
      <c r="G1" s="8" t="s">
        <v>531</v>
      </c>
      <c r="H1" s="8" t="s">
        <v>532</v>
      </c>
      <c r="I1" s="8" t="s">
        <v>534</v>
      </c>
      <c r="J1" s="8" t="s">
        <v>121</v>
      </c>
      <c r="K1" s="8" t="s">
        <v>48</v>
      </c>
      <c r="L1" s="9" t="s">
        <v>526</v>
      </c>
      <c r="M1" s="8" t="s">
        <v>527</v>
      </c>
      <c r="N1" s="8" t="s">
        <v>528</v>
      </c>
      <c r="O1" s="8" t="s">
        <v>536</v>
      </c>
      <c r="P1" s="8" t="s">
        <v>537</v>
      </c>
      <c r="Q1" s="8" t="s">
        <v>538</v>
      </c>
      <c r="R1" s="8" t="s">
        <v>539</v>
      </c>
      <c r="S1" s="8" t="s">
        <v>540</v>
      </c>
      <c r="T1" s="8" t="s">
        <v>590</v>
      </c>
      <c r="U1" s="8" t="s">
        <v>529</v>
      </c>
    </row>
    <row r="2" spans="1:21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4">
        <v>300000</v>
      </c>
      <c r="M2" s="15">
        <v>0.35237333333333332</v>
      </c>
      <c r="N2" s="15">
        <v>0.64762666666666668</v>
      </c>
      <c r="O2" s="16">
        <v>0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5">
        <v>0</v>
      </c>
    </row>
    <row r="3" spans="1:21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4">
        <v>300000</v>
      </c>
      <c r="M3" s="15">
        <v>0.35237333333333332</v>
      </c>
      <c r="N3" s="15">
        <v>0.64762666666666668</v>
      </c>
      <c r="O3" s="16">
        <v>0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5">
        <v>0</v>
      </c>
    </row>
    <row r="4" spans="1:21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4">
        <v>300000</v>
      </c>
      <c r="M4" s="15">
        <v>0.81459999999999999</v>
      </c>
      <c r="N4" s="15">
        <v>0.18540000000000001</v>
      </c>
      <c r="O4" s="16">
        <v>0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5">
        <v>0</v>
      </c>
    </row>
    <row r="5" spans="1:21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4">
        <v>907730</v>
      </c>
      <c r="M5" s="15">
        <v>0.2692210238727375</v>
      </c>
      <c r="N5" s="15">
        <v>0</v>
      </c>
      <c r="O5" s="16">
        <v>0.7307789761272625</v>
      </c>
      <c r="P5" s="16">
        <v>0</v>
      </c>
      <c r="Q5" s="16">
        <v>0</v>
      </c>
      <c r="R5" s="16">
        <v>0</v>
      </c>
      <c r="S5" s="16">
        <v>0</v>
      </c>
      <c r="T5" s="16">
        <v>0</v>
      </c>
      <c r="U5" s="15">
        <v>0</v>
      </c>
    </row>
    <row r="6" spans="1:21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4">
        <v>3696918</v>
      </c>
      <c r="M6" s="15">
        <v>3.7509081889292646E-2</v>
      </c>
      <c r="N6" s="15">
        <v>0</v>
      </c>
      <c r="O6" s="16">
        <v>0.17943324682884501</v>
      </c>
      <c r="P6" s="16">
        <v>0.78305767128186232</v>
      </c>
      <c r="Q6" s="16">
        <v>0</v>
      </c>
      <c r="R6" s="16">
        <v>0</v>
      </c>
      <c r="S6" s="16">
        <v>0</v>
      </c>
      <c r="T6" s="16">
        <v>0</v>
      </c>
      <c r="U6" s="15">
        <v>0</v>
      </c>
    </row>
    <row r="7" spans="1:21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4">
        <v>802018</v>
      </c>
      <c r="M7" s="15">
        <v>0.17289886261904347</v>
      </c>
      <c r="N7" s="15">
        <v>0</v>
      </c>
      <c r="O7" s="16">
        <v>0.82710113738095659</v>
      </c>
      <c r="P7" s="16">
        <v>0</v>
      </c>
      <c r="Q7" s="16">
        <v>0</v>
      </c>
      <c r="R7" s="16">
        <v>0</v>
      </c>
      <c r="S7" s="16">
        <v>0</v>
      </c>
      <c r="T7" s="16">
        <v>0</v>
      </c>
      <c r="U7" s="15">
        <v>0</v>
      </c>
    </row>
    <row r="8" spans="1:21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4">
        <v>600137</v>
      </c>
      <c r="M8" s="15">
        <v>0.23106057450215534</v>
      </c>
      <c r="N8" s="15">
        <v>0</v>
      </c>
      <c r="O8" s="16">
        <v>0.76893942549784466</v>
      </c>
      <c r="P8" s="16">
        <v>0</v>
      </c>
      <c r="Q8" s="16">
        <v>0</v>
      </c>
      <c r="R8" s="16">
        <v>0</v>
      </c>
      <c r="S8" s="16">
        <v>0</v>
      </c>
      <c r="T8" s="16">
        <v>0</v>
      </c>
      <c r="U8" s="15">
        <v>0</v>
      </c>
    </row>
    <row r="9" spans="1:21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4">
        <v>600137</v>
      </c>
      <c r="M9" s="15">
        <v>0.23106057450215534</v>
      </c>
      <c r="N9" s="15">
        <v>0</v>
      </c>
      <c r="O9" s="16">
        <v>0.76893942549784466</v>
      </c>
      <c r="P9" s="16">
        <v>0</v>
      </c>
      <c r="Q9" s="16">
        <v>0</v>
      </c>
      <c r="R9" s="16">
        <v>0</v>
      </c>
      <c r="S9" s="16">
        <v>0</v>
      </c>
      <c r="T9" s="16">
        <v>0</v>
      </c>
      <c r="U9" s="15">
        <v>0</v>
      </c>
    </row>
    <row r="10" spans="1:21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4">
        <v>461469</v>
      </c>
      <c r="M10" s="15">
        <v>0</v>
      </c>
      <c r="N10" s="15">
        <v>0</v>
      </c>
      <c r="O10" s="16">
        <v>1</v>
      </c>
      <c r="P10" s="16">
        <v>0</v>
      </c>
      <c r="Q10" s="16">
        <v>0</v>
      </c>
      <c r="R10" s="16">
        <v>0</v>
      </c>
      <c r="S10" s="16">
        <v>0</v>
      </c>
      <c r="T10" s="16">
        <v>0</v>
      </c>
      <c r="U10" s="15">
        <v>0</v>
      </c>
    </row>
    <row r="11" spans="1:21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4">
        <v>461469</v>
      </c>
      <c r="M11" s="15">
        <v>0</v>
      </c>
      <c r="N11" s="15">
        <v>0</v>
      </c>
      <c r="O11" s="16">
        <v>1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5">
        <v>0</v>
      </c>
    </row>
    <row r="12" spans="1:21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4">
        <v>461469</v>
      </c>
      <c r="M12" s="15">
        <v>0</v>
      </c>
      <c r="N12" s="15">
        <v>0</v>
      </c>
      <c r="O12" s="16">
        <v>1</v>
      </c>
      <c r="P12" s="16">
        <v>0</v>
      </c>
      <c r="Q12" s="16">
        <v>0</v>
      </c>
      <c r="R12" s="16">
        <v>0</v>
      </c>
      <c r="S12" s="16">
        <v>0</v>
      </c>
      <c r="T12" s="16">
        <v>0</v>
      </c>
      <c r="U12" s="15">
        <v>0</v>
      </c>
    </row>
    <row r="13" spans="1:21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4">
        <v>592709</v>
      </c>
      <c r="M13" s="15">
        <v>0</v>
      </c>
      <c r="N13" s="15">
        <v>0</v>
      </c>
      <c r="O13" s="16">
        <v>0.77857599597779015</v>
      </c>
      <c r="P13" s="16">
        <v>0</v>
      </c>
      <c r="Q13" s="16">
        <v>0.22142400402220988</v>
      </c>
      <c r="R13" s="16">
        <v>0</v>
      </c>
      <c r="S13" s="16">
        <v>0</v>
      </c>
      <c r="T13" s="16">
        <v>0</v>
      </c>
      <c r="U13" s="15">
        <v>0</v>
      </c>
    </row>
    <row r="14" spans="1:21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4">
        <v>592709</v>
      </c>
      <c r="M14" s="15">
        <v>0</v>
      </c>
      <c r="N14" s="15">
        <v>0</v>
      </c>
      <c r="O14" s="16">
        <v>0.77857599597779015</v>
      </c>
      <c r="P14" s="16">
        <v>0</v>
      </c>
      <c r="Q14" s="16">
        <v>0.22142400402220988</v>
      </c>
      <c r="R14" s="16">
        <v>0</v>
      </c>
      <c r="S14" s="16">
        <v>0</v>
      </c>
      <c r="T14" s="16">
        <v>0</v>
      </c>
      <c r="U14" s="15">
        <v>0</v>
      </c>
    </row>
    <row r="15" spans="1:21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4">
        <v>592709</v>
      </c>
      <c r="M15" s="15">
        <v>0</v>
      </c>
      <c r="N15" s="15">
        <v>0</v>
      </c>
      <c r="O15" s="16">
        <v>0.77857599597779015</v>
      </c>
      <c r="P15" s="16">
        <v>0</v>
      </c>
      <c r="Q15" s="16">
        <v>0.22142400402220988</v>
      </c>
      <c r="R15" s="16">
        <v>0</v>
      </c>
      <c r="S15" s="16">
        <v>0</v>
      </c>
      <c r="T15" s="16">
        <v>0</v>
      </c>
      <c r="U15" s="15">
        <v>0</v>
      </c>
    </row>
    <row r="16" spans="1:21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4">
        <v>3586250</v>
      </c>
      <c r="M16" s="15">
        <v>0</v>
      </c>
      <c r="N16" s="15">
        <v>0</v>
      </c>
      <c r="O16" s="16">
        <v>0.12867730916695713</v>
      </c>
      <c r="P16" s="16">
        <v>0.87132269083304292</v>
      </c>
      <c r="Q16" s="16">
        <v>0</v>
      </c>
      <c r="R16" s="16">
        <v>0</v>
      </c>
      <c r="S16" s="16">
        <v>0</v>
      </c>
      <c r="T16" s="16">
        <v>0</v>
      </c>
      <c r="U16" s="15">
        <v>0</v>
      </c>
    </row>
    <row r="17" spans="1:21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4">
        <v>3586250</v>
      </c>
      <c r="M17" s="15">
        <v>0</v>
      </c>
      <c r="N17" s="15">
        <v>0</v>
      </c>
      <c r="O17" s="16">
        <v>0.12867730916695713</v>
      </c>
      <c r="P17" s="16">
        <v>0.87132269083304292</v>
      </c>
      <c r="Q17" s="16">
        <v>0</v>
      </c>
      <c r="R17" s="16">
        <v>0</v>
      </c>
      <c r="S17" s="16">
        <v>0</v>
      </c>
      <c r="T17" s="16">
        <v>0</v>
      </c>
      <c r="U17" s="15">
        <v>0</v>
      </c>
    </row>
    <row r="18" spans="1:21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193096</v>
      </c>
      <c r="L18" s="14">
        <v>3779346</v>
      </c>
      <c r="M18" s="15">
        <v>0</v>
      </c>
      <c r="N18" s="15">
        <v>0</v>
      </c>
      <c r="O18" s="16">
        <v>0.12210287176670249</v>
      </c>
      <c r="P18" s="16">
        <v>0.8268046905469888</v>
      </c>
      <c r="Q18" s="16">
        <v>0</v>
      </c>
      <c r="R18" s="16">
        <v>0</v>
      </c>
      <c r="S18" s="16">
        <v>0</v>
      </c>
      <c r="T18" s="16">
        <v>0</v>
      </c>
      <c r="U18" s="15">
        <v>5.1092437686308688E-2</v>
      </c>
    </row>
    <row r="19" spans="1:21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193096</v>
      </c>
      <c r="L19" s="14">
        <v>3981471</v>
      </c>
      <c r="M19" s="15">
        <v>0</v>
      </c>
      <c r="N19" s="15">
        <v>0</v>
      </c>
      <c r="O19" s="16">
        <v>0.16667055970017111</v>
      </c>
      <c r="P19" s="16">
        <v>0.78483078239173409</v>
      </c>
      <c r="Q19" s="16">
        <v>0</v>
      </c>
      <c r="R19" s="16">
        <v>0</v>
      </c>
      <c r="S19" s="16">
        <v>0</v>
      </c>
      <c r="T19" s="16">
        <v>0</v>
      </c>
      <c r="U19" s="15">
        <v>4.8498657908094774E-2</v>
      </c>
    </row>
    <row r="20" spans="1:21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193096</v>
      </c>
      <c r="L20" s="14">
        <v>3981471</v>
      </c>
      <c r="M20" s="15">
        <v>0</v>
      </c>
      <c r="N20" s="15">
        <v>0</v>
      </c>
      <c r="O20" s="16">
        <v>0.16667055970017111</v>
      </c>
      <c r="P20" s="16">
        <v>0.78483078239173409</v>
      </c>
      <c r="Q20" s="16">
        <v>0</v>
      </c>
      <c r="R20" s="16">
        <v>0</v>
      </c>
      <c r="S20" s="16">
        <v>0</v>
      </c>
      <c r="T20" s="16">
        <v>0</v>
      </c>
      <c r="U20" s="15">
        <v>4.8498657908094774E-2</v>
      </c>
    </row>
    <row r="21" spans="1:21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416939</v>
      </c>
      <c r="L21" s="14">
        <v>4260349</v>
      </c>
      <c r="M21" s="15">
        <v>1.2917955782495754E-2</v>
      </c>
      <c r="N21" s="15">
        <v>0</v>
      </c>
      <c r="O21" s="16">
        <v>0.1557604787776776</v>
      </c>
      <c r="P21" s="16">
        <v>0.73345657832257405</v>
      </c>
      <c r="Q21" s="16">
        <v>0</v>
      </c>
      <c r="R21" s="16">
        <v>0</v>
      </c>
      <c r="S21" s="16">
        <v>0</v>
      </c>
      <c r="T21" s="16">
        <v>0</v>
      </c>
      <c r="U21" s="15">
        <v>9.7864987117252597E-2</v>
      </c>
    </row>
    <row r="22" spans="1:21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223843</v>
      </c>
      <c r="L22" s="14">
        <v>3524723</v>
      </c>
      <c r="M22" s="15">
        <v>1.5613992929373457E-2</v>
      </c>
      <c r="N22" s="15">
        <v>0</v>
      </c>
      <c r="O22" s="16">
        <v>0</v>
      </c>
      <c r="P22" s="16">
        <v>0.88653236013156211</v>
      </c>
      <c r="Q22" s="16">
        <v>0</v>
      </c>
      <c r="R22" s="16">
        <v>3.4347096211532084E-2</v>
      </c>
      <c r="S22" s="16">
        <v>0</v>
      </c>
      <c r="T22" s="16">
        <v>0</v>
      </c>
      <c r="U22" s="15">
        <v>6.3506550727532349E-2</v>
      </c>
    </row>
    <row r="23" spans="1:21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223843</v>
      </c>
      <c r="L23" s="14">
        <v>3469688</v>
      </c>
      <c r="M23" s="15">
        <v>0</v>
      </c>
      <c r="N23" s="15">
        <v>0</v>
      </c>
      <c r="O23" s="16">
        <v>0</v>
      </c>
      <c r="P23" s="16">
        <v>0.90059423210386635</v>
      </c>
      <c r="Q23" s="16">
        <v>0</v>
      </c>
      <c r="R23" s="16">
        <v>3.4891898061151318E-2</v>
      </c>
      <c r="S23" s="16">
        <v>0</v>
      </c>
      <c r="T23" s="16">
        <v>0</v>
      </c>
      <c r="U23" s="15">
        <v>6.4513869834982279E-2</v>
      </c>
    </row>
    <row r="24" spans="1:21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223843</v>
      </c>
      <c r="L24" s="14">
        <f>SUM(C24:K24)</f>
        <v>460932</v>
      </c>
      <c r="M24" s="15">
        <v>0</v>
      </c>
      <c r="N24" s="15">
        <v>0</v>
      </c>
      <c r="O24" s="16">
        <v>0</v>
      </c>
      <c r="P24" s="16">
        <v>0</v>
      </c>
      <c r="Q24" s="16">
        <f>G24/L24</f>
        <v>0.25171825779073703</v>
      </c>
      <c r="R24" s="16">
        <f>H24/L24</f>
        <v>0.2626504560325601</v>
      </c>
      <c r="S24" s="16">
        <v>0</v>
      </c>
      <c r="T24" s="16">
        <v>0</v>
      </c>
      <c r="U24" s="15">
        <f>K24/L24</f>
        <v>0.48563128617670287</v>
      </c>
    </row>
    <row r="25" spans="1:21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223843</v>
      </c>
      <c r="L25" s="14">
        <v>374479.39</v>
      </c>
      <c r="M25" s="15">
        <v>0</v>
      </c>
      <c r="N25" s="15">
        <v>7.8969339273918415E-2</v>
      </c>
      <c r="O25" s="16">
        <v>0</v>
      </c>
      <c r="P25" s="16">
        <v>0</v>
      </c>
      <c r="Q25" s="16">
        <v>0</v>
      </c>
      <c r="R25" s="16">
        <v>0.32328614933921995</v>
      </c>
      <c r="S25" s="16">
        <v>0</v>
      </c>
      <c r="T25" s="16">
        <v>0</v>
      </c>
      <c r="U25" s="15">
        <v>0.59774451138686158</v>
      </c>
    </row>
    <row r="26" spans="1:21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223843</v>
      </c>
      <c r="L26" s="14">
        <v>372801.92</v>
      </c>
      <c r="M26" s="15">
        <v>0</v>
      </c>
      <c r="N26" s="15">
        <v>7.4825043819516768E-2</v>
      </c>
      <c r="O26" s="16">
        <v>0</v>
      </c>
      <c r="P26" s="16">
        <v>0</v>
      </c>
      <c r="Q26" s="16">
        <v>0</v>
      </c>
      <c r="R26" s="16">
        <v>0.32474081678549299</v>
      </c>
      <c r="S26" s="16">
        <v>0</v>
      </c>
      <c r="T26" s="16">
        <v>0</v>
      </c>
      <c r="U26" s="15">
        <v>0.60043413939499024</v>
      </c>
    </row>
    <row r="27" spans="1:21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223843</v>
      </c>
      <c r="L27" s="14">
        <v>375246.11</v>
      </c>
      <c r="M27" s="15">
        <v>0</v>
      </c>
      <c r="N27" s="15">
        <v>8.0851231209298838E-2</v>
      </c>
      <c r="O27" s="16">
        <v>0</v>
      </c>
      <c r="P27" s="16">
        <v>0</v>
      </c>
      <c r="Q27" s="16">
        <v>0</v>
      </c>
      <c r="R27" s="16">
        <v>0.32262559630531545</v>
      </c>
      <c r="S27" s="16">
        <v>0</v>
      </c>
      <c r="T27" s="16">
        <v>0</v>
      </c>
      <c r="U27" s="15">
        <v>0.59652317248538567</v>
      </c>
    </row>
    <row r="28" spans="1:21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223843</v>
      </c>
      <c r="L28" s="14">
        <v>435718</v>
      </c>
      <c r="M28" s="15">
        <v>0.20841691185583336</v>
      </c>
      <c r="N28" s="15">
        <v>0</v>
      </c>
      <c r="O28" s="16">
        <v>0</v>
      </c>
      <c r="P28" s="16">
        <v>0</v>
      </c>
      <c r="Q28" s="16">
        <v>0</v>
      </c>
      <c r="R28" s="16">
        <v>0.27784943472613022</v>
      </c>
      <c r="S28" s="16">
        <v>0</v>
      </c>
      <c r="T28" s="16">
        <v>0</v>
      </c>
      <c r="U28" s="15">
        <v>0.51373365341803645</v>
      </c>
    </row>
    <row r="29" spans="1:21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223843</v>
      </c>
      <c r="L29" s="14">
        <v>435718</v>
      </c>
      <c r="M29" s="15">
        <v>0.20841691185583336</v>
      </c>
      <c r="N29" s="15">
        <v>0</v>
      </c>
      <c r="O29" s="16">
        <v>0</v>
      </c>
      <c r="P29" s="16">
        <v>0</v>
      </c>
      <c r="Q29" s="16">
        <v>0</v>
      </c>
      <c r="R29" s="16">
        <v>0.27784943472613022</v>
      </c>
      <c r="S29" s="16">
        <v>0</v>
      </c>
      <c r="T29" s="16">
        <v>0</v>
      </c>
      <c r="U29" s="15">
        <v>0.51373365341803645</v>
      </c>
    </row>
    <row r="30" spans="1:21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223843</v>
      </c>
      <c r="L30" s="14">
        <v>435718</v>
      </c>
      <c r="M30" s="15">
        <v>0.20841691185583336</v>
      </c>
      <c r="N30" s="15">
        <v>0</v>
      </c>
      <c r="O30" s="16">
        <v>0</v>
      </c>
      <c r="P30" s="16">
        <v>0</v>
      </c>
      <c r="Q30" s="16">
        <v>0</v>
      </c>
      <c r="R30" s="16">
        <v>0.27784943472613022</v>
      </c>
      <c r="S30" s="16">
        <v>0</v>
      </c>
      <c r="T30" s="16">
        <v>0</v>
      </c>
      <c r="U30" s="15">
        <v>0.51373365341803645</v>
      </c>
    </row>
    <row r="31" spans="1:21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223843</v>
      </c>
      <c r="L31" s="14">
        <v>435718</v>
      </c>
      <c r="M31" s="15">
        <v>0.20841691185583336</v>
      </c>
      <c r="N31" s="15">
        <v>0</v>
      </c>
      <c r="O31" s="16">
        <v>0</v>
      </c>
      <c r="P31" s="16">
        <v>0</v>
      </c>
      <c r="Q31" s="16">
        <v>0</v>
      </c>
      <c r="R31" s="16">
        <v>0.27784943472613022</v>
      </c>
      <c r="S31" s="16">
        <v>0</v>
      </c>
      <c r="T31" s="16">
        <v>0</v>
      </c>
      <c r="U31" s="15">
        <v>0.51373365341803645</v>
      </c>
    </row>
    <row r="32" spans="1:21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223843</v>
      </c>
      <c r="L32" s="14">
        <v>378852.03</v>
      </c>
      <c r="M32" s="15">
        <v>0</v>
      </c>
      <c r="N32" s="15">
        <v>8.9599704665697652E-2</v>
      </c>
      <c r="O32" s="16">
        <v>0</v>
      </c>
      <c r="P32" s="16">
        <v>0</v>
      </c>
      <c r="Q32" s="16">
        <v>0</v>
      </c>
      <c r="R32" s="16">
        <v>0.31955484044786558</v>
      </c>
      <c r="S32" s="16">
        <v>0</v>
      </c>
      <c r="T32" s="16">
        <v>0</v>
      </c>
      <c r="U32" s="15">
        <v>0.5908454548864368</v>
      </c>
    </row>
    <row r="33" spans="1:21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223843</v>
      </c>
      <c r="L33" s="14">
        <v>374437.1</v>
      </c>
      <c r="M33" s="15">
        <v>0</v>
      </c>
      <c r="N33" s="15">
        <v>7.8865315429480623E-2</v>
      </c>
      <c r="O33" s="16">
        <v>0</v>
      </c>
      <c r="P33" s="16">
        <v>0</v>
      </c>
      <c r="Q33" s="16">
        <v>0</v>
      </c>
      <c r="R33" s="16">
        <v>0.32332266220414591</v>
      </c>
      <c r="S33" s="16">
        <v>0</v>
      </c>
      <c r="T33" s="16">
        <v>0</v>
      </c>
      <c r="U33" s="15">
        <v>0.59781202236637343</v>
      </c>
    </row>
    <row r="34" spans="1:21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223843</v>
      </c>
      <c r="L34" s="14">
        <v>372248.26</v>
      </c>
      <c r="M34" s="15">
        <v>0</v>
      </c>
      <c r="N34" s="15">
        <v>7.3448993421755704E-2</v>
      </c>
      <c r="O34" s="16">
        <v>0</v>
      </c>
      <c r="P34" s="16">
        <v>0</v>
      </c>
      <c r="Q34" s="16">
        <v>0</v>
      </c>
      <c r="R34" s="16">
        <v>0.32522381703006481</v>
      </c>
      <c r="S34" s="16">
        <v>0</v>
      </c>
      <c r="T34" s="16">
        <v>0</v>
      </c>
      <c r="U34" s="15">
        <v>0.60132718954817943</v>
      </c>
    </row>
    <row r="35" spans="1:21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223843</v>
      </c>
      <c r="L35" s="14">
        <v>376025.4</v>
      </c>
      <c r="M35" s="15">
        <v>0</v>
      </c>
      <c r="N35" s="15">
        <v>8.2756111688199838E-2</v>
      </c>
      <c r="O35" s="16">
        <v>0</v>
      </c>
      <c r="P35" s="16">
        <v>0</v>
      </c>
      <c r="Q35" s="16">
        <v>0</v>
      </c>
      <c r="R35" s="16">
        <v>0.32195697418312696</v>
      </c>
      <c r="S35" s="16">
        <v>0</v>
      </c>
      <c r="T35" s="16">
        <v>0</v>
      </c>
      <c r="U35" s="15">
        <v>0.59528691412867318</v>
      </c>
    </row>
    <row r="36" spans="1:21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223843</v>
      </c>
      <c r="L36" s="14">
        <v>375009.72</v>
      </c>
      <c r="M36" s="15">
        <v>0</v>
      </c>
      <c r="N36" s="15">
        <v>8.0271839353923874E-2</v>
      </c>
      <c r="O36" s="16">
        <v>0</v>
      </c>
      <c r="P36" s="16">
        <v>0</v>
      </c>
      <c r="Q36" s="16">
        <v>0</v>
      </c>
      <c r="R36" s="16">
        <v>0.32282896560654484</v>
      </c>
      <c r="S36" s="16">
        <v>0</v>
      </c>
      <c r="T36" s="16">
        <v>0</v>
      </c>
      <c r="U36" s="15">
        <v>0.59689919503953126</v>
      </c>
    </row>
    <row r="37" spans="1:21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223843</v>
      </c>
      <c r="L37" s="14">
        <v>375731.28</v>
      </c>
      <c r="M37" s="15">
        <v>0</v>
      </c>
      <c r="N37" s="15">
        <v>8.2038099143622076E-2</v>
      </c>
      <c r="O37" s="16">
        <v>0</v>
      </c>
      <c r="P37" s="16">
        <v>0</v>
      </c>
      <c r="Q37" s="16">
        <v>0</v>
      </c>
      <c r="R37" s="16">
        <v>0.32220900000660047</v>
      </c>
      <c r="S37" s="16">
        <v>0</v>
      </c>
      <c r="T37" s="16">
        <v>0</v>
      </c>
      <c r="U37" s="15">
        <v>0.5957529008497775</v>
      </c>
    </row>
    <row r="38" spans="1:21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223843</v>
      </c>
      <c r="L38" s="14">
        <v>378174.99</v>
      </c>
      <c r="M38" s="15">
        <v>0</v>
      </c>
      <c r="N38" s="15">
        <v>8.79698311091381E-2</v>
      </c>
      <c r="O38" s="16">
        <v>0</v>
      </c>
      <c r="P38" s="16">
        <v>0</v>
      </c>
      <c r="Q38" s="16">
        <v>0</v>
      </c>
      <c r="R38" s="16">
        <v>0.32012693383028845</v>
      </c>
      <c r="S38" s="16">
        <v>0</v>
      </c>
      <c r="T38" s="16">
        <v>0</v>
      </c>
      <c r="U38" s="15">
        <v>0.59190323506057341</v>
      </c>
    </row>
    <row r="39" spans="1:21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223843</v>
      </c>
      <c r="L39" s="14">
        <v>380362.45</v>
      </c>
      <c r="M39" s="15">
        <v>0</v>
      </c>
      <c r="N39" s="15">
        <v>9.3214905940373474E-2</v>
      </c>
      <c r="O39" s="16">
        <v>0</v>
      </c>
      <c r="P39" s="16">
        <v>0</v>
      </c>
      <c r="Q39" s="16">
        <v>0</v>
      </c>
      <c r="R39" s="16">
        <v>0.31828588757907095</v>
      </c>
      <c r="S39" s="16">
        <v>0</v>
      </c>
      <c r="T39" s="16">
        <v>0</v>
      </c>
      <c r="U39" s="15">
        <v>0.58849920648055554</v>
      </c>
    </row>
    <row r="40" spans="1:21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223843</v>
      </c>
      <c r="L40" s="14">
        <v>377185.45</v>
      </c>
      <c r="M40" s="15">
        <v>0</v>
      </c>
      <c r="N40" s="15">
        <v>8.5577134536870422E-2</v>
      </c>
      <c r="O40" s="16">
        <v>0</v>
      </c>
      <c r="P40" s="16">
        <v>0</v>
      </c>
      <c r="Q40" s="16">
        <v>0</v>
      </c>
      <c r="R40" s="16">
        <v>0.32096678172501086</v>
      </c>
      <c r="S40" s="16">
        <v>0</v>
      </c>
      <c r="T40" s="16">
        <v>0</v>
      </c>
      <c r="U40" s="15">
        <v>0.59345608373811876</v>
      </c>
    </row>
    <row r="41" spans="1:21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223843</v>
      </c>
      <c r="L41" s="14">
        <v>378220.45</v>
      </c>
      <c r="M41" s="15">
        <v>0</v>
      </c>
      <c r="N41" s="15">
        <v>8.807945207616355E-2</v>
      </c>
      <c r="O41" s="16">
        <v>0</v>
      </c>
      <c r="P41" s="16">
        <v>0</v>
      </c>
      <c r="Q41" s="16">
        <v>0</v>
      </c>
      <c r="R41" s="16">
        <v>0.32008845634867178</v>
      </c>
      <c r="S41" s="16">
        <v>0</v>
      </c>
      <c r="T41" s="16">
        <v>0</v>
      </c>
      <c r="U41" s="15">
        <v>0.5918320915751647</v>
      </c>
    </row>
    <row r="42" spans="1:21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223843</v>
      </c>
      <c r="L42" s="14">
        <v>679531</v>
      </c>
      <c r="M42" s="15">
        <v>0.49243375210255308</v>
      </c>
      <c r="N42" s="15">
        <v>0</v>
      </c>
      <c r="O42" s="16">
        <v>0</v>
      </c>
      <c r="P42" s="16">
        <v>0</v>
      </c>
      <c r="Q42" s="16">
        <v>0</v>
      </c>
      <c r="R42" s="16">
        <v>0.17815817085607574</v>
      </c>
      <c r="S42" s="16">
        <v>0</v>
      </c>
      <c r="T42" s="16">
        <v>0</v>
      </c>
      <c r="U42" s="15">
        <v>0.32940807704137121</v>
      </c>
    </row>
    <row r="43" spans="1:21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223843</v>
      </c>
      <c r="L43" s="14">
        <v>679531</v>
      </c>
      <c r="M43" s="15">
        <v>0.49243375210255308</v>
      </c>
      <c r="N43" s="15">
        <v>0</v>
      </c>
      <c r="O43" s="16">
        <v>0</v>
      </c>
      <c r="P43" s="16">
        <v>0</v>
      </c>
      <c r="Q43" s="16">
        <v>0</v>
      </c>
      <c r="R43" s="16">
        <v>0.17815817085607574</v>
      </c>
      <c r="S43" s="16">
        <v>0</v>
      </c>
      <c r="T43" s="16">
        <v>0</v>
      </c>
      <c r="U43" s="15">
        <v>0.32940807704137121</v>
      </c>
    </row>
    <row r="44" spans="1:21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223843</v>
      </c>
      <c r="L44" s="14">
        <v>391793.7</v>
      </c>
      <c r="M44" s="15">
        <v>0</v>
      </c>
      <c r="N44" s="15">
        <v>0.11967190896637697</v>
      </c>
      <c r="O44" s="16">
        <v>0</v>
      </c>
      <c r="P44" s="16">
        <v>0</v>
      </c>
      <c r="Q44" s="16">
        <v>0</v>
      </c>
      <c r="R44" s="16">
        <v>0.30899935348628627</v>
      </c>
      <c r="S44" s="16">
        <v>0</v>
      </c>
      <c r="T44" s="16">
        <v>0</v>
      </c>
      <c r="U44" s="15">
        <v>0.57132873754733671</v>
      </c>
    </row>
    <row r="45" spans="1:21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223843</v>
      </c>
      <c r="L45" s="14">
        <v>388741.7</v>
      </c>
      <c r="M45" s="15">
        <v>0</v>
      </c>
      <c r="N45" s="15">
        <v>0.11276047823014616</v>
      </c>
      <c r="O45" s="16">
        <v>0</v>
      </c>
      <c r="P45" s="16">
        <v>0</v>
      </c>
      <c r="Q45" s="16">
        <v>0</v>
      </c>
      <c r="R45" s="16">
        <v>0.3114252985980151</v>
      </c>
      <c r="S45" s="16">
        <v>0</v>
      </c>
      <c r="T45" s="16">
        <v>0</v>
      </c>
      <c r="U45" s="15">
        <v>0.57581422317183872</v>
      </c>
    </row>
    <row r="46" spans="1:21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223843</v>
      </c>
      <c r="L46" s="14">
        <v>385314.7</v>
      </c>
      <c r="M46" s="15">
        <v>0</v>
      </c>
      <c r="N46" s="15">
        <v>0.10486934446051503</v>
      </c>
      <c r="O46" s="16">
        <v>0</v>
      </c>
      <c r="P46" s="16">
        <v>0</v>
      </c>
      <c r="Q46" s="16">
        <v>0</v>
      </c>
      <c r="R46" s="16">
        <v>0.31419512414138362</v>
      </c>
      <c r="S46" s="16">
        <v>0</v>
      </c>
      <c r="T46" s="16">
        <v>0</v>
      </c>
      <c r="U46" s="15">
        <v>0.58093553139810128</v>
      </c>
    </row>
    <row r="47" spans="1:21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223843</v>
      </c>
      <c r="L47" s="14">
        <v>383427.7</v>
      </c>
      <c r="M47" s="15">
        <v>0</v>
      </c>
      <c r="N47" s="15">
        <v>0.1004640509801457</v>
      </c>
      <c r="O47" s="16">
        <v>0</v>
      </c>
      <c r="P47" s="16">
        <v>0</v>
      </c>
      <c r="Q47" s="16">
        <v>0</v>
      </c>
      <c r="R47" s="16">
        <v>0.31574140313806226</v>
      </c>
      <c r="S47" s="16">
        <v>0</v>
      </c>
      <c r="T47" s="16">
        <v>0</v>
      </c>
      <c r="U47" s="15">
        <v>0.58379454588179203</v>
      </c>
    </row>
    <row r="48" spans="1:21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223843</v>
      </c>
      <c r="L48" s="14">
        <v>381652.7</v>
      </c>
      <c r="M48" s="15">
        <v>0</v>
      </c>
      <c r="N48" s="15">
        <v>9.6280466507901064E-2</v>
      </c>
      <c r="O48" s="16">
        <v>0</v>
      </c>
      <c r="P48" s="16">
        <v>0</v>
      </c>
      <c r="Q48" s="16">
        <v>0</v>
      </c>
      <c r="R48" s="16">
        <v>0.31720986121675543</v>
      </c>
      <c r="S48" s="16">
        <v>0</v>
      </c>
      <c r="T48" s="16">
        <v>0</v>
      </c>
      <c r="U48" s="15">
        <v>0.58650967227534356</v>
      </c>
    </row>
    <row r="49" spans="1:21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223843</v>
      </c>
      <c r="L49" s="14">
        <v>383198.7</v>
      </c>
      <c r="M49" s="15">
        <v>0</v>
      </c>
      <c r="N49" s="15">
        <v>9.9926487224513055E-2</v>
      </c>
      <c r="O49" s="16">
        <v>0</v>
      </c>
      <c r="P49" s="16">
        <v>0</v>
      </c>
      <c r="Q49" s="16">
        <v>0</v>
      </c>
      <c r="R49" s="16">
        <v>0.31593009057702959</v>
      </c>
      <c r="S49" s="16">
        <v>0</v>
      </c>
      <c r="T49" s="16">
        <v>0</v>
      </c>
      <c r="U49" s="15">
        <v>0.58414342219845738</v>
      </c>
    </row>
    <row r="50" spans="1:21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223843</v>
      </c>
      <c r="L50" s="14">
        <v>384776.7</v>
      </c>
      <c r="M50" s="15">
        <v>0</v>
      </c>
      <c r="N50" s="15">
        <v>0.10361776063883289</v>
      </c>
      <c r="O50" s="16">
        <v>0</v>
      </c>
      <c r="P50" s="16">
        <v>0</v>
      </c>
      <c r="Q50" s="16">
        <v>0</v>
      </c>
      <c r="R50" s="16">
        <v>0.31463443602484248</v>
      </c>
      <c r="S50" s="16">
        <v>0</v>
      </c>
      <c r="T50" s="16">
        <v>0</v>
      </c>
      <c r="U50" s="15">
        <v>0.5817478033363247</v>
      </c>
    </row>
    <row r="51" spans="1:21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8">
        <v>54051</v>
      </c>
      <c r="L51" s="14">
        <v>384909.7</v>
      </c>
      <c r="M51" s="15">
        <v>0</v>
      </c>
      <c r="N51" s="15">
        <v>6.342448631458239E-2</v>
      </c>
      <c r="O51" s="16">
        <v>0</v>
      </c>
      <c r="P51" s="16">
        <v>0</v>
      </c>
      <c r="Q51" s="16">
        <v>0</v>
      </c>
      <c r="R51" s="16">
        <v>0.31452571862959028</v>
      </c>
      <c r="S51" s="16">
        <v>0.48162465118442066</v>
      </c>
      <c r="T51" s="16">
        <v>0</v>
      </c>
      <c r="U51" s="15">
        <v>0.14042514387140673</v>
      </c>
    </row>
    <row r="52" spans="1:21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8">
        <v>54051</v>
      </c>
      <c r="L52" s="14">
        <v>379686.7</v>
      </c>
      <c r="M52" s="15">
        <v>0</v>
      </c>
      <c r="N52" s="15">
        <v>5.0540880151977961E-2</v>
      </c>
      <c r="O52" s="16">
        <v>0</v>
      </c>
      <c r="P52" s="16">
        <v>0</v>
      </c>
      <c r="Q52" s="16">
        <v>0</v>
      </c>
      <c r="R52" s="16">
        <v>0.31885235906340675</v>
      </c>
      <c r="S52" s="16">
        <v>0.48824991762945608</v>
      </c>
      <c r="T52" s="16">
        <v>0</v>
      </c>
      <c r="U52" s="15">
        <v>0.14235684315515923</v>
      </c>
    </row>
    <row r="53" spans="1:21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8">
        <v>218671</v>
      </c>
      <c r="L53" s="14">
        <f>SUM(C53:K53)</f>
        <v>676730</v>
      </c>
      <c r="M53" s="15">
        <v>0</v>
      </c>
      <c r="N53" s="15">
        <v>0</v>
      </c>
      <c r="O53" s="16">
        <v>0</v>
      </c>
      <c r="P53" s="16">
        <v>0</v>
      </c>
      <c r="Q53" s="16">
        <f>G53/L53</f>
        <v>0.2699821199001079</v>
      </c>
      <c r="R53" s="16">
        <f>H53/L53</f>
        <v>0.17889557135046474</v>
      </c>
      <c r="S53" s="16">
        <f>I53/L53</f>
        <v>0.22799343903772554</v>
      </c>
      <c r="T53" s="16">
        <v>0</v>
      </c>
      <c r="U53" s="15">
        <f>K53/L53</f>
        <v>0.32312886971170185</v>
      </c>
    </row>
    <row r="54" spans="1:21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8">
        <v>218671</v>
      </c>
      <c r="L54" s="14">
        <v>494025</v>
      </c>
      <c r="M54" s="15">
        <v>0</v>
      </c>
      <c r="N54" s="15">
        <v>0</v>
      </c>
      <c r="O54" s="16">
        <v>0</v>
      </c>
      <c r="P54" s="16">
        <v>0</v>
      </c>
      <c r="Q54" s="16">
        <v>0</v>
      </c>
      <c r="R54" s="16">
        <v>0.24505642427002683</v>
      </c>
      <c r="S54" s="16">
        <v>0.31231212995293761</v>
      </c>
      <c r="T54" s="16">
        <v>0</v>
      </c>
      <c r="U54" s="15">
        <v>0.44263144577703556</v>
      </c>
    </row>
    <row r="55" spans="1:21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8">
        <v>218671</v>
      </c>
      <c r="L55" s="14">
        <v>494025</v>
      </c>
      <c r="M55" s="15">
        <v>0</v>
      </c>
      <c r="N55" s="15">
        <v>0</v>
      </c>
      <c r="O55" s="16">
        <v>0</v>
      </c>
      <c r="P55" s="16">
        <v>0</v>
      </c>
      <c r="Q55" s="16">
        <v>0</v>
      </c>
      <c r="R55" s="16">
        <v>0.24505642427002683</v>
      </c>
      <c r="S55" s="16">
        <v>0.31231212995293761</v>
      </c>
      <c r="T55" s="16">
        <v>0</v>
      </c>
      <c r="U55" s="15">
        <v>0.44263144577703556</v>
      </c>
    </row>
    <row r="56" spans="1:21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8">
        <v>218671</v>
      </c>
      <c r="L56" s="14">
        <v>494025</v>
      </c>
      <c r="M56" s="15">
        <v>0</v>
      </c>
      <c r="N56" s="15">
        <v>0</v>
      </c>
      <c r="O56" s="16">
        <v>0</v>
      </c>
      <c r="P56" s="16">
        <v>0</v>
      </c>
      <c r="Q56" s="16">
        <v>0</v>
      </c>
      <c r="R56" s="16">
        <v>0.24505642427002683</v>
      </c>
      <c r="S56" s="16">
        <v>0.31231212995293761</v>
      </c>
      <c r="T56" s="16">
        <v>0</v>
      </c>
      <c r="U56" s="15">
        <v>0.44263144577703556</v>
      </c>
    </row>
    <row r="57" spans="1:21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8">
        <v>218671</v>
      </c>
      <c r="L57" s="14">
        <v>494025</v>
      </c>
      <c r="M57" s="15">
        <v>0</v>
      </c>
      <c r="N57" s="15">
        <v>0</v>
      </c>
      <c r="O57" s="16">
        <v>0</v>
      </c>
      <c r="P57" s="16">
        <v>0</v>
      </c>
      <c r="Q57" s="16">
        <v>0</v>
      </c>
      <c r="R57" s="16">
        <v>0.24505642427002683</v>
      </c>
      <c r="S57" s="16">
        <v>0.31231212995293761</v>
      </c>
      <c r="T57" s="16">
        <v>0</v>
      </c>
      <c r="U57" s="15">
        <v>0.44263144577703556</v>
      </c>
    </row>
    <row r="58" spans="1:21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8">
        <v>218671</v>
      </c>
      <c r="L58" s="14">
        <v>494025</v>
      </c>
      <c r="M58" s="15">
        <v>0</v>
      </c>
      <c r="N58" s="15">
        <v>0</v>
      </c>
      <c r="O58" s="16">
        <v>0</v>
      </c>
      <c r="P58" s="16">
        <v>0</v>
      </c>
      <c r="Q58" s="16">
        <v>0</v>
      </c>
      <c r="R58" s="16">
        <v>0.24505642427002683</v>
      </c>
      <c r="S58" s="16">
        <v>0.31231212995293761</v>
      </c>
      <c r="T58" s="16">
        <v>0</v>
      </c>
      <c r="U58" s="15">
        <v>0.44263144577703556</v>
      </c>
    </row>
    <row r="59" spans="1:21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8">
        <v>218671</v>
      </c>
      <c r="L59" s="14">
        <f>SUM(C59:K59)</f>
        <v>1945025</v>
      </c>
      <c r="M59" s="15">
        <v>0</v>
      </c>
      <c r="N59" s="15">
        <v>0</v>
      </c>
      <c r="O59" s="16">
        <v>0</v>
      </c>
      <c r="P59" s="16">
        <f>E59/L59</f>
        <v>0.7460058354005733</v>
      </c>
      <c r="Q59" s="16">
        <v>0</v>
      </c>
      <c r="R59" s="16">
        <f>H59/L59</f>
        <v>6.2242901762188149E-2</v>
      </c>
      <c r="S59" s="16">
        <f>I59/L59</f>
        <v>7.9325458541663993E-2</v>
      </c>
      <c r="T59" s="16">
        <v>0</v>
      </c>
      <c r="U59" s="15">
        <f>K59/L59</f>
        <v>0.11242580429557461</v>
      </c>
    </row>
    <row r="60" spans="1:21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8">
        <v>218671</v>
      </c>
      <c r="L60" s="14">
        <v>930260</v>
      </c>
      <c r="M60" s="15">
        <v>0</v>
      </c>
      <c r="N60" s="15">
        <v>0</v>
      </c>
      <c r="O60" s="16">
        <v>0</v>
      </c>
      <c r="P60" s="16">
        <v>0.46893879130565647</v>
      </c>
      <c r="Q60" s="16">
        <v>0</v>
      </c>
      <c r="R60" s="16">
        <v>0.13013996087115431</v>
      </c>
      <c r="S60" s="16">
        <v>0.16585685722271193</v>
      </c>
      <c r="T60" s="16">
        <v>0</v>
      </c>
      <c r="U60" s="15">
        <v>0.23506439060047729</v>
      </c>
    </row>
    <row r="61" spans="1:21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8">
        <v>218671</v>
      </c>
      <c r="L61" s="14">
        <f>SUM(C61:K61)</f>
        <v>1204798</v>
      </c>
      <c r="M61" s="15">
        <f>C61/L61</f>
        <v>0.11067249447625245</v>
      </c>
      <c r="N61" s="15">
        <v>0</v>
      </c>
      <c r="O61" s="16">
        <f>F61/L61</f>
        <v>0.11719806971791122</v>
      </c>
      <c r="P61" s="16">
        <f>E61/L61</f>
        <v>0.36208144435830736</v>
      </c>
      <c r="Q61" s="16">
        <v>0</v>
      </c>
      <c r="R61" s="16">
        <f>H61/L61</f>
        <v>0.10048489456323799</v>
      </c>
      <c r="S61" s="16">
        <f>I61/L61</f>
        <v>0.12806296159190173</v>
      </c>
      <c r="T61" s="16">
        <v>0</v>
      </c>
      <c r="U61" s="15">
        <f>K61/L61</f>
        <v>0.18150013529238926</v>
      </c>
    </row>
    <row r="62" spans="1:21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8">
        <v>54671</v>
      </c>
      <c r="L62" s="14">
        <v>396282.31</v>
      </c>
      <c r="M62" s="15">
        <v>0</v>
      </c>
      <c r="N62" s="15">
        <v>0.86204027123996529</v>
      </c>
      <c r="O62" s="16">
        <v>0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5">
        <v>0.13795972876003473</v>
      </c>
    </row>
    <row r="63" spans="1:21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8">
        <v>54671</v>
      </c>
      <c r="L63" s="14">
        <v>395802.31</v>
      </c>
      <c r="M63" s="15">
        <v>0</v>
      </c>
      <c r="N63" s="15">
        <v>0.86187296380357159</v>
      </c>
      <c r="O63" s="16">
        <v>0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5">
        <v>0.13812703619642847</v>
      </c>
    </row>
    <row r="64" spans="1:21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8">
        <v>54671</v>
      </c>
      <c r="L64" s="14">
        <v>396617.31</v>
      </c>
      <c r="M64" s="15">
        <v>0</v>
      </c>
      <c r="N64" s="15">
        <v>0.8621567979471193</v>
      </c>
      <c r="O64" s="16">
        <v>0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5">
        <v>0.13784320205288064</v>
      </c>
    </row>
    <row r="65" spans="1:21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8">
        <v>54671</v>
      </c>
      <c r="L65" s="14">
        <v>396917.31</v>
      </c>
      <c r="M65" s="15">
        <v>0</v>
      </c>
      <c r="N65" s="15">
        <v>0.86226098327634038</v>
      </c>
      <c r="O65" s="16">
        <v>0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5">
        <v>0.13773901672365965</v>
      </c>
    </row>
    <row r="66" spans="1:21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8">
        <v>54671</v>
      </c>
      <c r="L66" s="14">
        <v>399269.72</v>
      </c>
      <c r="M66" s="15">
        <v>0.14977093679931452</v>
      </c>
      <c r="N66" s="15">
        <v>0.71330157468490218</v>
      </c>
      <c r="O66" s="16">
        <v>0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5">
        <v>0.13692748851578326</v>
      </c>
    </row>
    <row r="67" spans="1:21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8">
        <v>54671</v>
      </c>
      <c r="L67" s="14">
        <v>926093</v>
      </c>
      <c r="M67" s="15">
        <v>0.94096597209999433</v>
      </c>
      <c r="N67" s="15">
        <v>0</v>
      </c>
      <c r="O67" s="16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5">
        <v>5.9034027900005726E-2</v>
      </c>
    </row>
    <row r="68" spans="1:21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8">
        <v>54671</v>
      </c>
      <c r="L68" s="14">
        <v>794093</v>
      </c>
      <c r="M68" s="15">
        <v>0.93115290022705144</v>
      </c>
      <c r="N68" s="15">
        <v>0</v>
      </c>
      <c r="O68" s="16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5">
        <v>6.8847099772948506E-2</v>
      </c>
    </row>
    <row r="69" spans="1:21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8">
        <v>0</v>
      </c>
      <c r="L69" s="14">
        <f t="shared" ref="L69:L80" si="0">SUM(C69:K69)</f>
        <v>407651</v>
      </c>
      <c r="M69" s="15">
        <v>0.25051515991027662</v>
      </c>
      <c r="N69" s="15">
        <v>0.74948484008972338</v>
      </c>
      <c r="O69" s="16">
        <v>0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5">
        <v>0</v>
      </c>
    </row>
    <row r="70" spans="1:21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8">
        <v>0</v>
      </c>
      <c r="L70" s="14">
        <f t="shared" si="0"/>
        <v>408551</v>
      </c>
      <c r="M70" s="15">
        <f t="shared" ref="M70:M75" si="1">C70/L70</f>
        <v>0.24736201845057287</v>
      </c>
      <c r="N70" s="15">
        <f t="shared" ref="N70:N75" si="2">D70/L70</f>
        <v>0.75263798154942707</v>
      </c>
      <c r="O70" s="16">
        <v>0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5">
        <v>0</v>
      </c>
    </row>
    <row r="71" spans="1:21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8">
        <v>0</v>
      </c>
      <c r="L71" s="14">
        <f t="shared" si="0"/>
        <v>408551</v>
      </c>
      <c r="M71" s="15">
        <f t="shared" si="1"/>
        <v>0.24736201845057287</v>
      </c>
      <c r="N71" s="15">
        <f t="shared" si="2"/>
        <v>0.75263798154942707</v>
      </c>
      <c r="O71" s="16">
        <v>0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5">
        <v>0</v>
      </c>
    </row>
    <row r="72" spans="1:21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8">
        <v>0</v>
      </c>
      <c r="L72" s="14">
        <f t="shared" si="0"/>
        <v>408551</v>
      </c>
      <c r="M72" s="15">
        <f t="shared" si="1"/>
        <v>0.24736201845057287</v>
      </c>
      <c r="N72" s="15">
        <f t="shared" si="2"/>
        <v>0.75263798154942707</v>
      </c>
      <c r="O72" s="16">
        <v>0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5">
        <v>0</v>
      </c>
    </row>
    <row r="73" spans="1:21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8">
        <v>0</v>
      </c>
      <c r="L73" s="14">
        <f t="shared" si="0"/>
        <v>409358</v>
      </c>
      <c r="M73" s="15">
        <f t="shared" si="1"/>
        <v>0.45189296410476892</v>
      </c>
      <c r="N73" s="15">
        <f t="shared" si="2"/>
        <v>0.54810703589523102</v>
      </c>
      <c r="O73" s="16">
        <v>0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5">
        <v>0</v>
      </c>
    </row>
    <row r="74" spans="1:21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8">
        <v>120370</v>
      </c>
      <c r="L74" s="14">
        <f t="shared" si="0"/>
        <v>563114</v>
      </c>
      <c r="M74" s="15">
        <f t="shared" si="1"/>
        <v>0.74001534325198803</v>
      </c>
      <c r="N74" s="15">
        <f t="shared" si="2"/>
        <v>0</v>
      </c>
      <c r="O74" s="16">
        <v>0</v>
      </c>
      <c r="P74" s="16">
        <v>0</v>
      </c>
      <c r="Q74" s="16">
        <v>0</v>
      </c>
      <c r="R74" s="16">
        <v>0</v>
      </c>
      <c r="S74" s="16">
        <f t="shared" ref="S74:S79" si="3">I74/L74</f>
        <v>4.6226874132058518E-2</v>
      </c>
      <c r="T74" s="16">
        <f>K74/L74</f>
        <v>0.21375778261595343</v>
      </c>
      <c r="U74" s="15">
        <v>0</v>
      </c>
    </row>
    <row r="75" spans="1:21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4">
        <f t="shared" si="0"/>
        <v>412405</v>
      </c>
      <c r="M75" s="15">
        <f t="shared" si="1"/>
        <v>0.52517307016161296</v>
      </c>
      <c r="N75" s="15">
        <f t="shared" si="2"/>
        <v>0.41170693856767016</v>
      </c>
      <c r="O75" s="16">
        <v>0</v>
      </c>
      <c r="P75" s="16">
        <v>0</v>
      </c>
      <c r="Q75" s="16">
        <v>0</v>
      </c>
      <c r="R75" s="16">
        <v>0</v>
      </c>
      <c r="S75" s="16">
        <f t="shared" si="3"/>
        <v>6.3119991270716894E-2</v>
      </c>
      <c r="T75" s="16">
        <f>K75/L75</f>
        <v>0</v>
      </c>
      <c r="U75" s="15">
        <v>0</v>
      </c>
    </row>
    <row r="76" spans="1:21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8">
        <v>0</v>
      </c>
      <c r="L76" s="14">
        <f t="shared" si="0"/>
        <v>408536</v>
      </c>
      <c r="M76" s="15">
        <f t="shared" ref="M76" si="4">C76/L76</f>
        <v>0.74552793389077099</v>
      </c>
      <c r="N76" s="15">
        <f t="shared" ref="N76" si="5">D76/L76</f>
        <v>0.25447206610922907</v>
      </c>
      <c r="O76" s="16">
        <v>0</v>
      </c>
      <c r="P76" s="16">
        <v>0</v>
      </c>
      <c r="Q76" s="16">
        <v>0</v>
      </c>
      <c r="R76" s="16">
        <v>0</v>
      </c>
      <c r="S76" s="16">
        <f t="shared" si="3"/>
        <v>0</v>
      </c>
      <c r="T76" s="16">
        <f>K76/L76</f>
        <v>0</v>
      </c>
      <c r="U76" s="15">
        <v>0</v>
      </c>
    </row>
    <row r="77" spans="1:21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8">
        <v>0</v>
      </c>
      <c r="L77" s="14">
        <f t="shared" si="0"/>
        <v>406109</v>
      </c>
      <c r="M77" s="15">
        <f t="shared" ref="M77" si="6">C77/L77</f>
        <v>0.96410569576148275</v>
      </c>
      <c r="N77" s="15">
        <f t="shared" ref="N77" si="7">D77/L77</f>
        <v>3.5894304238517243E-2</v>
      </c>
      <c r="O77" s="16">
        <v>0</v>
      </c>
      <c r="P77" s="16">
        <v>0</v>
      </c>
      <c r="Q77" s="16">
        <v>0</v>
      </c>
      <c r="R77" s="16">
        <v>0</v>
      </c>
      <c r="S77" s="16">
        <f t="shared" si="3"/>
        <v>0</v>
      </c>
      <c r="T77" s="16">
        <f>K77/L77</f>
        <v>0</v>
      </c>
      <c r="U77" s="15">
        <v>0</v>
      </c>
    </row>
    <row r="78" spans="1:21" x14ac:dyDescent="0.25">
      <c r="A78" s="10">
        <v>46281</v>
      </c>
      <c r="B78" s="11">
        <f>B77+5870</f>
        <v>411979</v>
      </c>
      <c r="C78" s="19">
        <v>288016</v>
      </c>
      <c r="D78" s="13">
        <f>B78-C78-K78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8">
        <v>88000</v>
      </c>
      <c r="L78" s="14">
        <f t="shared" si="0"/>
        <v>411979</v>
      </c>
      <c r="M78" s="15">
        <f t="shared" ref="M78" si="8">C78/L78</f>
        <v>0.69910359508615727</v>
      </c>
      <c r="N78" s="15">
        <f t="shared" ref="N78" si="9">D78/L78</f>
        <v>8.7293284366436158E-2</v>
      </c>
      <c r="O78" s="16">
        <v>0</v>
      </c>
      <c r="P78" s="16">
        <v>0</v>
      </c>
      <c r="Q78" s="16">
        <v>0</v>
      </c>
      <c r="R78" s="16">
        <v>0</v>
      </c>
      <c r="S78" s="16">
        <f t="shared" si="3"/>
        <v>0</v>
      </c>
      <c r="T78" s="16">
        <v>0</v>
      </c>
      <c r="U78" s="16">
        <f>K78/L78</f>
        <v>0.21360312054740654</v>
      </c>
    </row>
    <row r="79" spans="1:21" x14ac:dyDescent="0.25">
      <c r="A79" s="10">
        <v>46282</v>
      </c>
      <c r="B79" s="11">
        <v>415663</v>
      </c>
      <c r="C79" s="19">
        <v>235136</v>
      </c>
      <c r="D79" s="13">
        <f>B79-C79-K79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8">
        <v>44000</v>
      </c>
      <c r="L79" s="14">
        <f t="shared" si="0"/>
        <v>415663</v>
      </c>
      <c r="M79" s="15">
        <f t="shared" ref="M79" si="10">C79/L79</f>
        <v>0.56568903173965446</v>
      </c>
      <c r="N79" s="15">
        <f t="shared" ref="N79" si="11">D79/L79</f>
        <v>0.32845598477612875</v>
      </c>
      <c r="O79" s="16">
        <v>0</v>
      </c>
      <c r="P79" s="16">
        <v>0</v>
      </c>
      <c r="Q79" s="16">
        <v>0</v>
      </c>
      <c r="R79" s="16">
        <v>0</v>
      </c>
      <c r="S79" s="16">
        <f t="shared" si="3"/>
        <v>0</v>
      </c>
      <c r="T79" s="16">
        <v>0</v>
      </c>
      <c r="U79" s="16">
        <f>K79/L79</f>
        <v>0.10585498348421678</v>
      </c>
    </row>
    <row r="80" spans="1:21" x14ac:dyDescent="0.25">
      <c r="A80" s="10">
        <v>46282</v>
      </c>
      <c r="B80" s="11">
        <v>413875</v>
      </c>
      <c r="C80" s="19">
        <v>17795</v>
      </c>
      <c r="D80" s="13">
        <f>B80-C80-K80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8">
        <v>44000</v>
      </c>
      <c r="L80" s="14">
        <f t="shared" si="0"/>
        <v>413875</v>
      </c>
      <c r="M80" s="15">
        <f t="shared" ref="M80" si="12">C80/L80</f>
        <v>4.299607369374811E-2</v>
      </c>
      <c r="N80" s="15">
        <f t="shared" ref="N80" si="13">D80/L80</f>
        <v>0.85069163394744796</v>
      </c>
      <c r="O80" s="16">
        <v>0</v>
      </c>
      <c r="P80" s="16">
        <v>0</v>
      </c>
      <c r="Q80" s="16">
        <v>0</v>
      </c>
      <c r="R80" s="16">
        <v>0</v>
      </c>
      <c r="S80" s="16">
        <f t="shared" ref="S80" si="14">I80/L80</f>
        <v>0</v>
      </c>
      <c r="T80" s="16">
        <v>0</v>
      </c>
      <c r="U80" s="16">
        <f>K80/L80</f>
        <v>0.10631229235880399</v>
      </c>
    </row>
    <row r="1048543" spans="1:1" x14ac:dyDescent="0.25">
      <c r="A1048543" s="10"/>
    </row>
  </sheetData>
  <conditionalFormatting sqref="M2:U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120</v>
      </c>
      <c r="B1" s="4" t="s">
        <v>121</v>
      </c>
      <c r="C1" s="4" t="s">
        <v>122</v>
      </c>
      <c r="D1" s="4" t="s">
        <v>123</v>
      </c>
      <c r="E1" s="4" t="s">
        <v>124</v>
      </c>
      <c r="F1" s="4" t="s">
        <v>125</v>
      </c>
      <c r="G1" s="4" t="s">
        <v>126</v>
      </c>
      <c r="H1" s="4" t="s">
        <v>127</v>
      </c>
      <c r="I1" s="4" t="s">
        <v>128</v>
      </c>
      <c r="J1" s="4" t="s">
        <v>129</v>
      </c>
      <c r="K1" s="4" t="s">
        <v>130</v>
      </c>
      <c r="L1" s="4" t="s">
        <v>131</v>
      </c>
    </row>
    <row r="2" spans="1:12" s="1" customFormat="1" x14ac:dyDescent="0.2">
      <c r="A2" s="3" t="s">
        <v>132</v>
      </c>
      <c r="B2" s="3" t="s">
        <v>133</v>
      </c>
      <c r="C2" s="3" t="s">
        <v>134</v>
      </c>
      <c r="D2" s="3" t="s">
        <v>135</v>
      </c>
      <c r="E2" s="3" t="s">
        <v>136</v>
      </c>
      <c r="F2" s="3" t="s">
        <v>137</v>
      </c>
      <c r="G2" s="3" t="s">
        <v>542</v>
      </c>
      <c r="H2" s="3" t="s">
        <v>139</v>
      </c>
      <c r="I2" s="3" t="s">
        <v>140</v>
      </c>
      <c r="J2" s="3" t="s">
        <v>141</v>
      </c>
      <c r="K2" s="3" t="s">
        <v>142</v>
      </c>
      <c r="L2" s="3" t="s">
        <v>143</v>
      </c>
    </row>
    <row r="3" spans="1:12" s="1" customFormat="1" x14ac:dyDescent="0.2">
      <c r="A3" s="3" t="s">
        <v>144</v>
      </c>
      <c r="B3" s="3" t="s">
        <v>145</v>
      </c>
      <c r="C3" s="3" t="s">
        <v>146</v>
      </c>
      <c r="D3" s="3" t="s">
        <v>147</v>
      </c>
      <c r="E3" s="3" t="s">
        <v>148</v>
      </c>
      <c r="F3" s="3" t="s">
        <v>149</v>
      </c>
      <c r="G3" s="3" t="s">
        <v>543</v>
      </c>
      <c r="H3" s="3" t="s">
        <v>151</v>
      </c>
      <c r="I3" s="3" t="s">
        <v>152</v>
      </c>
      <c r="J3" s="3" t="s">
        <v>153</v>
      </c>
      <c r="K3" s="3" t="s">
        <v>154</v>
      </c>
      <c r="L3" s="3" t="s">
        <v>155</v>
      </c>
    </row>
    <row r="4" spans="1:12" s="1" customFormat="1" x14ac:dyDescent="0.2">
      <c r="A4" s="3" t="s">
        <v>156</v>
      </c>
      <c r="B4" s="3" t="s">
        <v>157</v>
      </c>
      <c r="C4" s="3" t="s">
        <v>158</v>
      </c>
      <c r="D4" s="3" t="s">
        <v>159</v>
      </c>
      <c r="E4" s="3" t="s">
        <v>160</v>
      </c>
      <c r="F4" s="2"/>
      <c r="G4" s="3" t="s">
        <v>138</v>
      </c>
      <c r="H4" s="3" t="s">
        <v>162</v>
      </c>
      <c r="I4" s="3" t="s">
        <v>163</v>
      </c>
      <c r="J4" s="3" t="s">
        <v>164</v>
      </c>
      <c r="K4" s="3" t="s">
        <v>165</v>
      </c>
      <c r="L4" s="3" t="s">
        <v>166</v>
      </c>
    </row>
    <row r="5" spans="1:12" s="1" customFormat="1" x14ac:dyDescent="0.2">
      <c r="A5" s="3" t="s">
        <v>167</v>
      </c>
      <c r="B5" s="3" t="s">
        <v>168</v>
      </c>
      <c r="C5" s="3" t="s">
        <v>169</v>
      </c>
      <c r="D5" s="3" t="s">
        <v>170</v>
      </c>
      <c r="E5" s="3" t="s">
        <v>171</v>
      </c>
      <c r="F5" s="2"/>
      <c r="G5" s="3" t="s">
        <v>150</v>
      </c>
      <c r="H5" s="3" t="s">
        <v>173</v>
      </c>
      <c r="I5" s="3" t="s">
        <v>174</v>
      </c>
      <c r="J5" s="3" t="s">
        <v>175</v>
      </c>
      <c r="K5" s="3" t="s">
        <v>176</v>
      </c>
      <c r="L5" s="3" t="s">
        <v>177</v>
      </c>
    </row>
    <row r="6" spans="1:12" s="1" customFormat="1" x14ac:dyDescent="0.2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2"/>
      <c r="G6" s="3" t="s">
        <v>161</v>
      </c>
      <c r="H6" s="3" t="s">
        <v>184</v>
      </c>
      <c r="I6" s="3" t="s">
        <v>185</v>
      </c>
      <c r="J6" s="3" t="s">
        <v>186</v>
      </c>
      <c r="K6" s="3" t="s">
        <v>187</v>
      </c>
      <c r="L6" s="3" t="s">
        <v>188</v>
      </c>
    </row>
    <row r="7" spans="1:12" s="1" customFormat="1" x14ac:dyDescent="0.2">
      <c r="A7" s="3" t="s">
        <v>189</v>
      </c>
      <c r="B7" s="3" t="s">
        <v>190</v>
      </c>
      <c r="C7" s="3" t="s">
        <v>191</v>
      </c>
      <c r="D7" s="3" t="s">
        <v>192</v>
      </c>
      <c r="E7" s="3" t="s">
        <v>193</v>
      </c>
      <c r="F7" s="2"/>
      <c r="G7" s="3" t="s">
        <v>172</v>
      </c>
      <c r="H7" s="3" t="s">
        <v>195</v>
      </c>
      <c r="I7" s="3" t="s">
        <v>196</v>
      </c>
      <c r="J7" s="3" t="s">
        <v>197</v>
      </c>
      <c r="K7" s="3" t="s">
        <v>198</v>
      </c>
      <c r="L7" s="3" t="s">
        <v>199</v>
      </c>
    </row>
    <row r="8" spans="1:12" s="1" customFormat="1" x14ac:dyDescent="0.2">
      <c r="A8" s="3" t="s">
        <v>200</v>
      </c>
      <c r="B8" s="3" t="s">
        <v>201</v>
      </c>
      <c r="C8" s="3" t="s">
        <v>202</v>
      </c>
      <c r="D8" s="2"/>
      <c r="E8" s="3" t="s">
        <v>203</v>
      </c>
      <c r="F8" s="2"/>
      <c r="G8" s="3" t="s">
        <v>183</v>
      </c>
      <c r="H8" s="3" t="s">
        <v>205</v>
      </c>
      <c r="I8" s="3" t="s">
        <v>206</v>
      </c>
      <c r="J8" s="3" t="s">
        <v>207</v>
      </c>
      <c r="K8" s="3" t="s">
        <v>208</v>
      </c>
      <c r="L8" s="3" t="s">
        <v>209</v>
      </c>
    </row>
    <row r="9" spans="1:12" s="1" customFormat="1" x14ac:dyDescent="0.2">
      <c r="A9" s="3"/>
      <c r="B9" s="3" t="s">
        <v>210</v>
      </c>
      <c r="C9" s="3" t="s">
        <v>211</v>
      </c>
      <c r="D9" s="2"/>
      <c r="E9" s="3" t="s">
        <v>212</v>
      </c>
      <c r="F9" s="2"/>
      <c r="G9" s="3" t="s">
        <v>194</v>
      </c>
      <c r="H9" s="3" t="s">
        <v>214</v>
      </c>
      <c r="I9" s="3" t="s">
        <v>215</v>
      </c>
      <c r="J9" s="3" t="s">
        <v>216</v>
      </c>
      <c r="K9" s="3" t="s">
        <v>217</v>
      </c>
      <c r="L9" s="3" t="s">
        <v>218</v>
      </c>
    </row>
    <row r="10" spans="1:12" s="1" customFormat="1" x14ac:dyDescent="0.2">
      <c r="A10" s="3"/>
      <c r="B10" s="3" t="s">
        <v>219</v>
      </c>
      <c r="C10" s="3" t="s">
        <v>220</v>
      </c>
      <c r="D10" s="2"/>
      <c r="E10" s="2"/>
      <c r="F10" s="2"/>
      <c r="G10" s="3" t="s">
        <v>568</v>
      </c>
      <c r="H10" s="3" t="s">
        <v>222</v>
      </c>
      <c r="I10" s="3" t="s">
        <v>223</v>
      </c>
      <c r="J10" s="3" t="s">
        <v>224</v>
      </c>
      <c r="K10" s="3" t="s">
        <v>225</v>
      </c>
      <c r="L10" s="3" t="s">
        <v>226</v>
      </c>
    </row>
    <row r="11" spans="1:12" s="1" customFormat="1" x14ac:dyDescent="0.2">
      <c r="A11" s="3"/>
      <c r="B11" s="3" t="s">
        <v>227</v>
      </c>
      <c r="C11" s="3" t="s">
        <v>228</v>
      </c>
      <c r="D11" s="2"/>
      <c r="E11" s="2"/>
      <c r="F11" s="2"/>
      <c r="G11" s="3" t="s">
        <v>204</v>
      </c>
      <c r="H11" s="3" t="s">
        <v>230</v>
      </c>
      <c r="I11" s="3" t="s">
        <v>231</v>
      </c>
      <c r="J11" s="3" t="s">
        <v>232</v>
      </c>
      <c r="K11" s="3" t="s">
        <v>233</v>
      </c>
      <c r="L11" s="3" t="s">
        <v>234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213</v>
      </c>
      <c r="H12" s="3" t="s">
        <v>236</v>
      </c>
      <c r="I12" s="3" t="s">
        <v>237</v>
      </c>
      <c r="J12" s="3" t="s">
        <v>238</v>
      </c>
      <c r="K12" s="3" t="s">
        <v>535</v>
      </c>
      <c r="L12" s="3" t="s">
        <v>240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221</v>
      </c>
      <c r="H13" s="3"/>
      <c r="I13" s="3" t="s">
        <v>242</v>
      </c>
      <c r="J13" s="3" t="s">
        <v>243</v>
      </c>
      <c r="K13" s="3" t="s">
        <v>239</v>
      </c>
      <c r="L13" s="3" t="s">
        <v>245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229</v>
      </c>
      <c r="H14" s="3"/>
      <c r="I14" s="3" t="s">
        <v>247</v>
      </c>
      <c r="J14" s="3" t="s">
        <v>248</v>
      </c>
      <c r="K14" s="3" t="s">
        <v>244</v>
      </c>
      <c r="L14" s="3" t="s">
        <v>250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235</v>
      </c>
      <c r="H15" s="3"/>
      <c r="I15" s="3" t="s">
        <v>252</v>
      </c>
      <c r="J15" s="3" t="s">
        <v>253</v>
      </c>
      <c r="K15" s="3" t="s">
        <v>249</v>
      </c>
      <c r="L15" s="3" t="s">
        <v>255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241</v>
      </c>
      <c r="H16" s="3"/>
      <c r="I16" s="3" t="s">
        <v>257</v>
      </c>
      <c r="J16" s="3" t="s">
        <v>258</v>
      </c>
      <c r="K16" s="3" t="s">
        <v>254</v>
      </c>
      <c r="L16" s="3" t="s">
        <v>260</v>
      </c>
    </row>
    <row r="17" spans="1:12" s="1" customFormat="1" x14ac:dyDescent="0.2">
      <c r="A17" s="3" t="s">
        <v>261</v>
      </c>
      <c r="B17" s="3">
        <v>7</v>
      </c>
      <c r="C17" s="2"/>
      <c r="D17" s="2"/>
      <c r="E17" s="2"/>
      <c r="F17" s="2"/>
      <c r="G17" s="3" t="s">
        <v>246</v>
      </c>
      <c r="H17" s="3"/>
      <c r="I17" s="3" t="s">
        <v>263</v>
      </c>
      <c r="J17" s="3" t="s">
        <v>264</v>
      </c>
      <c r="K17" s="3" t="s">
        <v>259</v>
      </c>
      <c r="L17" s="3" t="s">
        <v>266</v>
      </c>
    </row>
    <row r="18" spans="1:12" s="1" customFormat="1" x14ac:dyDescent="0.2">
      <c r="A18" s="3" t="s">
        <v>121</v>
      </c>
      <c r="B18" s="3">
        <v>10</v>
      </c>
      <c r="C18" s="2"/>
      <c r="D18" s="2"/>
      <c r="E18" s="2"/>
      <c r="F18" s="2"/>
      <c r="G18" s="3" t="s">
        <v>251</v>
      </c>
      <c r="H18" s="3"/>
      <c r="I18" s="3" t="s">
        <v>268</v>
      </c>
      <c r="J18" s="3" t="s">
        <v>269</v>
      </c>
      <c r="K18" s="3" t="s">
        <v>265</v>
      </c>
      <c r="L18" s="3" t="s">
        <v>271</v>
      </c>
    </row>
    <row r="19" spans="1:12" s="1" customFormat="1" x14ac:dyDescent="0.2">
      <c r="A19" s="3" t="s">
        <v>122</v>
      </c>
      <c r="B19" s="3">
        <v>10</v>
      </c>
      <c r="C19" s="2"/>
      <c r="D19" s="2"/>
      <c r="E19" s="2"/>
      <c r="F19" s="2"/>
      <c r="G19" s="3" t="s">
        <v>256</v>
      </c>
      <c r="H19" s="3"/>
      <c r="I19" s="3" t="s">
        <v>273</v>
      </c>
      <c r="J19" s="3" t="s">
        <v>274</v>
      </c>
      <c r="K19" s="3" t="s">
        <v>270</v>
      </c>
      <c r="L19" s="3" t="s">
        <v>276</v>
      </c>
    </row>
    <row r="20" spans="1:12" s="1" customFormat="1" x14ac:dyDescent="0.2">
      <c r="A20" s="3" t="s">
        <v>123</v>
      </c>
      <c r="B20" s="3">
        <v>6</v>
      </c>
      <c r="C20" s="2"/>
      <c r="D20" s="2"/>
      <c r="E20" s="2"/>
      <c r="F20" s="2"/>
      <c r="G20" s="3" t="s">
        <v>262</v>
      </c>
      <c r="H20" s="3"/>
      <c r="I20" s="3" t="s">
        <v>278</v>
      </c>
      <c r="J20" s="3" t="s">
        <v>279</v>
      </c>
      <c r="K20" s="3" t="s">
        <v>275</v>
      </c>
      <c r="L20" s="3" t="s">
        <v>281</v>
      </c>
    </row>
    <row r="21" spans="1:12" s="1" customFormat="1" x14ac:dyDescent="0.2">
      <c r="A21" s="3" t="s">
        <v>124</v>
      </c>
      <c r="B21" s="3">
        <v>8</v>
      </c>
      <c r="C21" s="2"/>
      <c r="D21" s="2"/>
      <c r="E21" s="2"/>
      <c r="F21" s="2"/>
      <c r="G21" s="3" t="s">
        <v>267</v>
      </c>
      <c r="H21" s="3"/>
      <c r="I21" s="3" t="s">
        <v>283</v>
      </c>
      <c r="J21" s="3" t="s">
        <v>284</v>
      </c>
      <c r="K21" s="3" t="s">
        <v>280</v>
      </c>
      <c r="L21" s="3" t="s">
        <v>286</v>
      </c>
    </row>
    <row r="22" spans="1:12" s="1" customFormat="1" x14ac:dyDescent="0.2">
      <c r="A22" s="3" t="s">
        <v>125</v>
      </c>
      <c r="B22" s="3">
        <v>2</v>
      </c>
      <c r="C22" s="2"/>
      <c r="D22" s="2"/>
      <c r="E22" s="2"/>
      <c r="F22" s="2"/>
      <c r="G22" s="3" t="s">
        <v>566</v>
      </c>
      <c r="H22" s="3"/>
      <c r="I22" s="3" t="s">
        <v>288</v>
      </c>
      <c r="J22" s="3" t="s">
        <v>289</v>
      </c>
      <c r="K22" s="3" t="s">
        <v>285</v>
      </c>
      <c r="L22" s="3" t="s">
        <v>290</v>
      </c>
    </row>
    <row r="23" spans="1:12" s="1" customFormat="1" x14ac:dyDescent="0.2">
      <c r="A23" s="3" t="s">
        <v>126</v>
      </c>
      <c r="B23" s="3">
        <v>149</v>
      </c>
      <c r="C23" s="2"/>
      <c r="D23" s="2"/>
      <c r="E23" s="2"/>
      <c r="F23" s="2"/>
      <c r="G23" s="3" t="s">
        <v>272</v>
      </c>
      <c r="H23" s="3"/>
      <c r="I23" s="3" t="s">
        <v>292</v>
      </c>
      <c r="J23" s="3" t="s">
        <v>293</v>
      </c>
      <c r="K23" s="3"/>
      <c r="L23" s="3" t="s">
        <v>294</v>
      </c>
    </row>
    <row r="24" spans="1:12" s="1" customFormat="1" x14ac:dyDescent="0.2">
      <c r="A24" s="3" t="s">
        <v>295</v>
      </c>
      <c r="B24" s="3">
        <v>11</v>
      </c>
      <c r="C24" s="2"/>
      <c r="D24" s="2"/>
      <c r="E24" s="2"/>
      <c r="F24" s="2"/>
      <c r="G24" s="3" t="s">
        <v>277</v>
      </c>
      <c r="H24" s="3"/>
      <c r="I24" s="3" t="s">
        <v>297</v>
      </c>
      <c r="J24" s="3" t="s">
        <v>298</v>
      </c>
      <c r="K24" s="3"/>
      <c r="L24" s="3"/>
    </row>
    <row r="25" spans="1:12" s="1" customFormat="1" x14ac:dyDescent="0.2">
      <c r="A25" s="3" t="s">
        <v>128</v>
      </c>
      <c r="B25" s="3">
        <v>97</v>
      </c>
      <c r="C25" s="2"/>
      <c r="D25" s="2"/>
      <c r="E25" s="2"/>
      <c r="F25" s="2"/>
      <c r="G25" s="3" t="s">
        <v>559</v>
      </c>
      <c r="H25" s="3"/>
      <c r="I25" s="3" t="s">
        <v>300</v>
      </c>
      <c r="J25" s="3" t="s">
        <v>301</v>
      </c>
      <c r="K25" s="3"/>
      <c r="L25" s="3"/>
    </row>
    <row r="26" spans="1:12" s="1" customFormat="1" x14ac:dyDescent="0.2">
      <c r="A26" s="3" t="s">
        <v>129</v>
      </c>
      <c r="B26" s="3">
        <v>32</v>
      </c>
      <c r="C26" s="2"/>
      <c r="D26" s="2"/>
      <c r="E26" s="2"/>
      <c r="F26" s="2"/>
      <c r="G26" s="3" t="s">
        <v>282</v>
      </c>
      <c r="H26" s="3"/>
      <c r="I26" s="3" t="s">
        <v>303</v>
      </c>
      <c r="J26" s="3" t="s">
        <v>304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287</v>
      </c>
      <c r="H27" s="3"/>
      <c r="I27" s="3" t="s">
        <v>306</v>
      </c>
      <c r="J27" s="3" t="s">
        <v>307</v>
      </c>
      <c r="K27" s="3"/>
      <c r="L27" s="3"/>
    </row>
    <row r="28" spans="1:12" s="1" customFormat="1" x14ac:dyDescent="0.2">
      <c r="A28" s="3" t="s">
        <v>131</v>
      </c>
      <c r="B28" s="3">
        <v>22</v>
      </c>
      <c r="C28" s="2"/>
      <c r="D28" s="2"/>
      <c r="E28" s="2"/>
      <c r="F28" s="2"/>
      <c r="G28" s="3" t="s">
        <v>291</v>
      </c>
      <c r="H28" s="3"/>
      <c r="I28" s="3" t="s">
        <v>309</v>
      </c>
      <c r="J28" s="3" t="s">
        <v>310</v>
      </c>
      <c r="K28" s="3"/>
      <c r="L28" s="3"/>
    </row>
    <row r="29" spans="1:12" s="1" customFormat="1" x14ac:dyDescent="0.2">
      <c r="A29" s="3" t="s">
        <v>311</v>
      </c>
      <c r="B29" s="3">
        <f>SUM(B17:B28)</f>
        <v>374</v>
      </c>
      <c r="C29" s="2"/>
      <c r="D29" s="2"/>
      <c r="E29" s="2"/>
      <c r="F29" s="2"/>
      <c r="G29" s="3" t="s">
        <v>296</v>
      </c>
      <c r="H29" s="3"/>
      <c r="I29" s="3" t="s">
        <v>313</v>
      </c>
      <c r="J29" s="3" t="s">
        <v>314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299</v>
      </c>
      <c r="H30" s="3"/>
      <c r="I30" s="3" t="s">
        <v>316</v>
      </c>
      <c r="J30" s="3" t="s">
        <v>317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561</v>
      </c>
      <c r="H31" s="3"/>
      <c r="I31" s="3" t="s">
        <v>319</v>
      </c>
      <c r="J31" s="3" t="s">
        <v>320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547</v>
      </c>
      <c r="H32" s="3"/>
      <c r="I32" s="3" t="s">
        <v>322</v>
      </c>
      <c r="J32" s="3" t="s">
        <v>323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573</v>
      </c>
      <c r="H33" s="3"/>
      <c r="I33" s="3" t="s">
        <v>325</v>
      </c>
      <c r="J33" s="3" t="s">
        <v>326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302</v>
      </c>
      <c r="H34" s="3"/>
      <c r="I34" s="3" t="s">
        <v>328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305</v>
      </c>
      <c r="H35" s="3"/>
      <c r="I35" s="3" t="s">
        <v>330</v>
      </c>
      <c r="J35" s="3"/>
      <c r="K35" s="2"/>
      <c r="L35" s="2"/>
    </row>
    <row r="36" spans="1:12" x14ac:dyDescent="0.2">
      <c r="G36" s="3" t="s">
        <v>308</v>
      </c>
      <c r="H36" s="3"/>
      <c r="I36" s="3" t="s">
        <v>332</v>
      </c>
    </row>
    <row r="37" spans="1:12" x14ac:dyDescent="0.2">
      <c r="G37" s="3" t="s">
        <v>312</v>
      </c>
      <c r="I37" s="3" t="s">
        <v>334</v>
      </c>
    </row>
    <row r="38" spans="1:12" x14ac:dyDescent="0.2">
      <c r="G38" s="3" t="s">
        <v>574</v>
      </c>
      <c r="I38" s="3" t="s">
        <v>336</v>
      </c>
    </row>
    <row r="39" spans="1:12" x14ac:dyDescent="0.2">
      <c r="G39" s="3" t="s">
        <v>550</v>
      </c>
      <c r="I39" s="3" t="s">
        <v>338</v>
      </c>
    </row>
    <row r="40" spans="1:12" x14ac:dyDescent="0.2">
      <c r="G40" s="3" t="s">
        <v>315</v>
      </c>
      <c r="I40" s="3" t="s">
        <v>340</v>
      </c>
    </row>
    <row r="41" spans="1:12" x14ac:dyDescent="0.2">
      <c r="G41" s="3" t="s">
        <v>318</v>
      </c>
      <c r="I41" s="3" t="s">
        <v>342</v>
      </c>
    </row>
    <row r="42" spans="1:12" x14ac:dyDescent="0.2">
      <c r="G42" s="3" t="s">
        <v>557</v>
      </c>
      <c r="I42" s="3" t="s">
        <v>344</v>
      </c>
    </row>
    <row r="43" spans="1:12" x14ac:dyDescent="0.2">
      <c r="G43" s="3" t="s">
        <v>321</v>
      </c>
      <c r="I43" s="3" t="s">
        <v>346</v>
      </c>
    </row>
    <row r="44" spans="1:12" x14ac:dyDescent="0.2">
      <c r="G44" s="3" t="s">
        <v>324</v>
      </c>
      <c r="I44" s="3" t="s">
        <v>348</v>
      </c>
    </row>
    <row r="45" spans="1:12" x14ac:dyDescent="0.2">
      <c r="G45" s="3" t="s">
        <v>555</v>
      </c>
      <c r="I45" s="3" t="s">
        <v>350</v>
      </c>
    </row>
    <row r="46" spans="1:12" x14ac:dyDescent="0.2">
      <c r="G46" s="3" t="s">
        <v>327</v>
      </c>
      <c r="I46" s="3" t="s">
        <v>352</v>
      </c>
    </row>
    <row r="47" spans="1:12" x14ac:dyDescent="0.2">
      <c r="G47" s="3" t="s">
        <v>329</v>
      </c>
      <c r="I47" s="3" t="s">
        <v>354</v>
      </c>
    </row>
    <row r="48" spans="1:12" x14ac:dyDescent="0.2">
      <c r="G48" s="3" t="s">
        <v>331</v>
      </c>
      <c r="I48" s="3" t="s">
        <v>356</v>
      </c>
    </row>
    <row r="49" spans="7:9" x14ac:dyDescent="0.2">
      <c r="G49" s="3" t="s">
        <v>558</v>
      </c>
      <c r="I49" s="3" t="s">
        <v>358</v>
      </c>
    </row>
    <row r="50" spans="7:9" x14ac:dyDescent="0.2">
      <c r="G50" s="3" t="s">
        <v>333</v>
      </c>
      <c r="I50" s="3" t="s">
        <v>360</v>
      </c>
    </row>
    <row r="51" spans="7:9" x14ac:dyDescent="0.2">
      <c r="G51" s="3" t="s">
        <v>335</v>
      </c>
      <c r="I51" s="3" t="s">
        <v>362</v>
      </c>
    </row>
    <row r="52" spans="7:9" x14ac:dyDescent="0.2">
      <c r="G52" s="3" t="s">
        <v>337</v>
      </c>
      <c r="I52" s="3" t="s">
        <v>364</v>
      </c>
    </row>
    <row r="53" spans="7:9" x14ac:dyDescent="0.2">
      <c r="G53" s="3" t="s">
        <v>339</v>
      </c>
      <c r="I53" s="3" t="s">
        <v>366</v>
      </c>
    </row>
    <row r="54" spans="7:9" x14ac:dyDescent="0.2">
      <c r="G54" s="3" t="s">
        <v>341</v>
      </c>
      <c r="I54" s="3" t="s">
        <v>368</v>
      </c>
    </row>
    <row r="55" spans="7:9" x14ac:dyDescent="0.2">
      <c r="G55" s="3" t="s">
        <v>343</v>
      </c>
      <c r="I55" s="3" t="s">
        <v>370</v>
      </c>
    </row>
    <row r="56" spans="7:9" x14ac:dyDescent="0.2">
      <c r="G56" s="3" t="s">
        <v>345</v>
      </c>
      <c r="I56" s="3" t="s">
        <v>372</v>
      </c>
    </row>
    <row r="57" spans="7:9" x14ac:dyDescent="0.2">
      <c r="G57" s="3" t="s">
        <v>347</v>
      </c>
      <c r="I57" s="3" t="s">
        <v>374</v>
      </c>
    </row>
    <row r="58" spans="7:9" x14ac:dyDescent="0.2">
      <c r="G58" s="3" t="s">
        <v>349</v>
      </c>
      <c r="I58" s="3" t="s">
        <v>376</v>
      </c>
    </row>
    <row r="59" spans="7:9" x14ac:dyDescent="0.2">
      <c r="G59" s="3" t="s">
        <v>351</v>
      </c>
      <c r="I59" s="3" t="s">
        <v>378</v>
      </c>
    </row>
    <row r="60" spans="7:9" x14ac:dyDescent="0.2">
      <c r="G60" s="3" t="s">
        <v>353</v>
      </c>
      <c r="I60" s="3" t="s">
        <v>380</v>
      </c>
    </row>
    <row r="61" spans="7:9" x14ac:dyDescent="0.2">
      <c r="G61" s="3" t="s">
        <v>571</v>
      </c>
      <c r="I61" s="3" t="s">
        <v>382</v>
      </c>
    </row>
    <row r="62" spans="7:9" x14ac:dyDescent="0.2">
      <c r="G62" s="3" t="s">
        <v>355</v>
      </c>
      <c r="I62" s="3" t="s">
        <v>384</v>
      </c>
    </row>
    <row r="63" spans="7:9" x14ac:dyDescent="0.2">
      <c r="G63" s="3" t="s">
        <v>357</v>
      </c>
      <c r="I63" s="3" t="s">
        <v>386</v>
      </c>
    </row>
    <row r="64" spans="7:9" x14ac:dyDescent="0.2">
      <c r="G64" s="3" t="s">
        <v>359</v>
      </c>
      <c r="I64" s="3" t="s">
        <v>388</v>
      </c>
    </row>
    <row r="65" spans="7:9" x14ac:dyDescent="0.2">
      <c r="G65" s="3" t="s">
        <v>361</v>
      </c>
      <c r="I65" s="3" t="s">
        <v>390</v>
      </c>
    </row>
    <row r="66" spans="7:9" x14ac:dyDescent="0.2">
      <c r="G66" s="3" t="s">
        <v>363</v>
      </c>
      <c r="I66" s="3" t="s">
        <v>392</v>
      </c>
    </row>
    <row r="67" spans="7:9" x14ac:dyDescent="0.2">
      <c r="G67" s="3" t="s">
        <v>365</v>
      </c>
      <c r="I67" s="3" t="s">
        <v>394</v>
      </c>
    </row>
    <row r="68" spans="7:9" x14ac:dyDescent="0.2">
      <c r="G68" s="3" t="s">
        <v>367</v>
      </c>
      <c r="I68" s="3" t="s">
        <v>396</v>
      </c>
    </row>
    <row r="69" spans="7:9" x14ac:dyDescent="0.2">
      <c r="G69" s="3" t="s">
        <v>369</v>
      </c>
      <c r="I69" s="3" t="s">
        <v>398</v>
      </c>
    </row>
    <row r="70" spans="7:9" x14ac:dyDescent="0.2">
      <c r="G70" s="3" t="s">
        <v>371</v>
      </c>
      <c r="I70" s="3" t="s">
        <v>400</v>
      </c>
    </row>
    <row r="71" spans="7:9" x14ac:dyDescent="0.2">
      <c r="G71" s="3" t="s">
        <v>373</v>
      </c>
      <c r="I71" s="3" t="s">
        <v>402</v>
      </c>
    </row>
    <row r="72" spans="7:9" x14ac:dyDescent="0.2">
      <c r="G72" s="3" t="s">
        <v>375</v>
      </c>
      <c r="I72" s="3" t="s">
        <v>404</v>
      </c>
    </row>
    <row r="73" spans="7:9" x14ac:dyDescent="0.2">
      <c r="G73" s="3" t="s">
        <v>377</v>
      </c>
      <c r="I73" s="3" t="s">
        <v>406</v>
      </c>
    </row>
    <row r="74" spans="7:9" x14ac:dyDescent="0.2">
      <c r="G74" s="3" t="s">
        <v>379</v>
      </c>
      <c r="I74" s="3" t="s">
        <v>408</v>
      </c>
    </row>
    <row r="75" spans="7:9" x14ac:dyDescent="0.2">
      <c r="G75" s="3" t="s">
        <v>563</v>
      </c>
      <c r="I75" s="3" t="s">
        <v>410</v>
      </c>
    </row>
    <row r="76" spans="7:9" x14ac:dyDescent="0.2">
      <c r="G76" s="3" t="s">
        <v>381</v>
      </c>
      <c r="I76" s="3" t="s">
        <v>412</v>
      </c>
    </row>
    <row r="77" spans="7:9" x14ac:dyDescent="0.2">
      <c r="G77" s="3" t="s">
        <v>383</v>
      </c>
      <c r="I77" s="3" t="s">
        <v>414</v>
      </c>
    </row>
    <row r="78" spans="7:9" x14ac:dyDescent="0.2">
      <c r="G78" s="3" t="s">
        <v>385</v>
      </c>
      <c r="I78" s="3" t="s">
        <v>416</v>
      </c>
    </row>
    <row r="79" spans="7:9" x14ac:dyDescent="0.2">
      <c r="G79" s="3" t="s">
        <v>387</v>
      </c>
      <c r="I79" s="3" t="s">
        <v>418</v>
      </c>
    </row>
    <row r="80" spans="7:9" x14ac:dyDescent="0.2">
      <c r="G80" s="3" t="s">
        <v>389</v>
      </c>
      <c r="I80" s="3" t="s">
        <v>420</v>
      </c>
    </row>
    <row r="81" spans="7:9" x14ac:dyDescent="0.2">
      <c r="G81" s="3" t="s">
        <v>391</v>
      </c>
      <c r="I81" s="3" t="s">
        <v>422</v>
      </c>
    </row>
    <row r="82" spans="7:9" x14ac:dyDescent="0.2">
      <c r="G82" s="3" t="s">
        <v>393</v>
      </c>
      <c r="I82" s="3" t="s">
        <v>424</v>
      </c>
    </row>
    <row r="83" spans="7:9" x14ac:dyDescent="0.2">
      <c r="G83" s="3" t="s">
        <v>395</v>
      </c>
      <c r="I83" s="3" t="s">
        <v>426</v>
      </c>
    </row>
    <row r="84" spans="7:9" x14ac:dyDescent="0.2">
      <c r="G84" s="3" t="s">
        <v>397</v>
      </c>
      <c r="I84" s="3" t="s">
        <v>428</v>
      </c>
    </row>
    <row r="85" spans="7:9" x14ac:dyDescent="0.2">
      <c r="G85" s="3" t="s">
        <v>399</v>
      </c>
      <c r="I85" s="3" t="s">
        <v>430</v>
      </c>
    </row>
    <row r="86" spans="7:9" x14ac:dyDescent="0.2">
      <c r="G86" s="3" t="s">
        <v>401</v>
      </c>
      <c r="I86" s="3" t="s">
        <v>432</v>
      </c>
    </row>
    <row r="87" spans="7:9" x14ac:dyDescent="0.2">
      <c r="G87" s="3" t="s">
        <v>403</v>
      </c>
      <c r="I87" s="3" t="s">
        <v>434</v>
      </c>
    </row>
    <row r="88" spans="7:9" x14ac:dyDescent="0.2">
      <c r="G88" s="3" t="s">
        <v>405</v>
      </c>
      <c r="I88" s="3" t="s">
        <v>436</v>
      </c>
    </row>
    <row r="89" spans="7:9" x14ac:dyDescent="0.2">
      <c r="G89" s="3" t="s">
        <v>407</v>
      </c>
      <c r="I89" s="3" t="s">
        <v>438</v>
      </c>
    </row>
    <row r="90" spans="7:9" x14ac:dyDescent="0.2">
      <c r="G90" s="3" t="s">
        <v>409</v>
      </c>
      <c r="I90" s="3" t="s">
        <v>440</v>
      </c>
    </row>
    <row r="91" spans="7:9" x14ac:dyDescent="0.2">
      <c r="G91" s="3" t="s">
        <v>411</v>
      </c>
      <c r="I91" s="3" t="s">
        <v>442</v>
      </c>
    </row>
    <row r="92" spans="7:9" x14ac:dyDescent="0.2">
      <c r="G92" s="3" t="s">
        <v>413</v>
      </c>
      <c r="I92" s="3" t="s">
        <v>444</v>
      </c>
    </row>
    <row r="93" spans="7:9" x14ac:dyDescent="0.2">
      <c r="G93" s="3" t="s">
        <v>415</v>
      </c>
      <c r="I93" s="3" t="s">
        <v>446</v>
      </c>
    </row>
    <row r="94" spans="7:9" x14ac:dyDescent="0.2">
      <c r="G94" s="3" t="s">
        <v>417</v>
      </c>
      <c r="I94" s="3" t="s">
        <v>448</v>
      </c>
    </row>
    <row r="95" spans="7:9" x14ac:dyDescent="0.2">
      <c r="G95" s="3" t="s">
        <v>419</v>
      </c>
      <c r="I95" s="3" t="s">
        <v>450</v>
      </c>
    </row>
    <row r="96" spans="7:9" x14ac:dyDescent="0.2">
      <c r="G96" s="3" t="s">
        <v>421</v>
      </c>
      <c r="I96" s="3" t="s">
        <v>452</v>
      </c>
    </row>
    <row r="97" spans="7:9" x14ac:dyDescent="0.2">
      <c r="G97" s="3" t="s">
        <v>423</v>
      </c>
      <c r="I97" s="3" t="s">
        <v>454</v>
      </c>
    </row>
    <row r="98" spans="7:9" x14ac:dyDescent="0.2">
      <c r="G98" s="3" t="s">
        <v>556</v>
      </c>
      <c r="I98" s="3" t="s">
        <v>456</v>
      </c>
    </row>
    <row r="99" spans="7:9" x14ac:dyDescent="0.2">
      <c r="G99" s="3" t="s">
        <v>549</v>
      </c>
    </row>
    <row r="100" spans="7:9" x14ac:dyDescent="0.2">
      <c r="G100" s="3" t="s">
        <v>575</v>
      </c>
    </row>
    <row r="101" spans="7:9" x14ac:dyDescent="0.2">
      <c r="G101" s="3" t="s">
        <v>425</v>
      </c>
    </row>
    <row r="102" spans="7:9" x14ac:dyDescent="0.2">
      <c r="G102" s="3" t="s">
        <v>427</v>
      </c>
    </row>
    <row r="103" spans="7:9" x14ac:dyDescent="0.2">
      <c r="G103" s="3" t="s">
        <v>429</v>
      </c>
    </row>
    <row r="104" spans="7:9" x14ac:dyDescent="0.2">
      <c r="G104" s="3" t="s">
        <v>431</v>
      </c>
    </row>
    <row r="105" spans="7:9" x14ac:dyDescent="0.2">
      <c r="G105" s="3" t="s">
        <v>433</v>
      </c>
    </row>
    <row r="106" spans="7:9" x14ac:dyDescent="0.2">
      <c r="G106" s="3" t="s">
        <v>435</v>
      </c>
    </row>
    <row r="107" spans="7:9" x14ac:dyDescent="0.2">
      <c r="G107" s="3" t="s">
        <v>437</v>
      </c>
    </row>
    <row r="108" spans="7:9" x14ac:dyDescent="0.2">
      <c r="G108" s="3" t="s">
        <v>553</v>
      </c>
    </row>
    <row r="109" spans="7:9" x14ac:dyDescent="0.2">
      <c r="G109" s="3" t="s">
        <v>439</v>
      </c>
    </row>
    <row r="110" spans="7:9" x14ac:dyDescent="0.2">
      <c r="G110" s="3" t="s">
        <v>441</v>
      </c>
    </row>
    <row r="111" spans="7:9" x14ac:dyDescent="0.2">
      <c r="G111" s="3" t="s">
        <v>443</v>
      </c>
    </row>
    <row r="112" spans="7:9" x14ac:dyDescent="0.2">
      <c r="G112" s="3" t="s">
        <v>445</v>
      </c>
    </row>
    <row r="113" spans="7:7" x14ac:dyDescent="0.2">
      <c r="G113" s="3" t="s">
        <v>447</v>
      </c>
    </row>
    <row r="114" spans="7:7" x14ac:dyDescent="0.2">
      <c r="G114" s="3" t="s">
        <v>449</v>
      </c>
    </row>
    <row r="115" spans="7:7" x14ac:dyDescent="0.2">
      <c r="G115" s="3" t="s">
        <v>451</v>
      </c>
    </row>
    <row r="116" spans="7:7" x14ac:dyDescent="0.2">
      <c r="G116" s="3" t="s">
        <v>548</v>
      </c>
    </row>
    <row r="117" spans="7:7" x14ac:dyDescent="0.2">
      <c r="G117" s="3" t="s">
        <v>453</v>
      </c>
    </row>
    <row r="118" spans="7:7" x14ac:dyDescent="0.2">
      <c r="G118" s="3" t="s">
        <v>455</v>
      </c>
    </row>
    <row r="119" spans="7:7" x14ac:dyDescent="0.2">
      <c r="G119" s="3" t="s">
        <v>457</v>
      </c>
    </row>
    <row r="120" spans="7:7" x14ac:dyDescent="0.2">
      <c r="G120" s="3" t="s">
        <v>458</v>
      </c>
    </row>
    <row r="121" spans="7:7" x14ac:dyDescent="0.2">
      <c r="G121" s="3" t="s">
        <v>459</v>
      </c>
    </row>
    <row r="122" spans="7:7" x14ac:dyDescent="0.2">
      <c r="G122" s="3" t="s">
        <v>460</v>
      </c>
    </row>
    <row r="123" spans="7:7" x14ac:dyDescent="0.2">
      <c r="G123" s="3" t="s">
        <v>461</v>
      </c>
    </row>
    <row r="124" spans="7:7" x14ac:dyDescent="0.2">
      <c r="G124" s="3" t="s">
        <v>560</v>
      </c>
    </row>
    <row r="125" spans="7:7" x14ac:dyDescent="0.2">
      <c r="G125" s="3" t="s">
        <v>462</v>
      </c>
    </row>
    <row r="126" spans="7:7" x14ac:dyDescent="0.2">
      <c r="G126" s="3" t="s">
        <v>463</v>
      </c>
    </row>
    <row r="127" spans="7:7" x14ac:dyDescent="0.2">
      <c r="G127" s="3" t="s">
        <v>464</v>
      </c>
    </row>
    <row r="128" spans="7:7" x14ac:dyDescent="0.2">
      <c r="G128" s="3" t="s">
        <v>465</v>
      </c>
    </row>
    <row r="129" spans="7:7" x14ac:dyDescent="0.2">
      <c r="G129" s="3" t="s">
        <v>466</v>
      </c>
    </row>
    <row r="130" spans="7:7" x14ac:dyDescent="0.2">
      <c r="G130" s="3" t="s">
        <v>467</v>
      </c>
    </row>
    <row r="131" spans="7:7" x14ac:dyDescent="0.2">
      <c r="G131" s="3" t="s">
        <v>468</v>
      </c>
    </row>
    <row r="132" spans="7:7" x14ac:dyDescent="0.2">
      <c r="G132" s="3" t="s">
        <v>469</v>
      </c>
    </row>
    <row r="133" spans="7:7" x14ac:dyDescent="0.2">
      <c r="G133" s="3" t="s">
        <v>470</v>
      </c>
    </row>
    <row r="134" spans="7:7" x14ac:dyDescent="0.2">
      <c r="G134" s="3" t="s">
        <v>471</v>
      </c>
    </row>
    <row r="135" spans="7:7" x14ac:dyDescent="0.2">
      <c r="G135" s="3" t="s">
        <v>472</v>
      </c>
    </row>
    <row r="136" spans="7:7" x14ac:dyDescent="0.2">
      <c r="G136" s="3" t="s">
        <v>579</v>
      </c>
    </row>
    <row r="137" spans="7:7" x14ac:dyDescent="0.2">
      <c r="G137" s="3" t="s">
        <v>473</v>
      </c>
    </row>
    <row r="138" spans="7:7" x14ac:dyDescent="0.2">
      <c r="G138" s="3" t="s">
        <v>474</v>
      </c>
    </row>
    <row r="139" spans="7:7" x14ac:dyDescent="0.2">
      <c r="G139" s="3" t="s">
        <v>475</v>
      </c>
    </row>
    <row r="140" spans="7:7" x14ac:dyDescent="0.2">
      <c r="G140" s="3" t="s">
        <v>476</v>
      </c>
    </row>
    <row r="141" spans="7:7" x14ac:dyDescent="0.2">
      <c r="G141" s="3" t="s">
        <v>545</v>
      </c>
    </row>
    <row r="142" spans="7:7" x14ac:dyDescent="0.2">
      <c r="G142" s="3" t="s">
        <v>477</v>
      </c>
    </row>
    <row r="143" spans="7:7" x14ac:dyDescent="0.2">
      <c r="G143" s="3" t="s">
        <v>564</v>
      </c>
    </row>
    <row r="144" spans="7:7" x14ac:dyDescent="0.2">
      <c r="G144" s="3" t="s">
        <v>478</v>
      </c>
    </row>
    <row r="145" spans="7:7" x14ac:dyDescent="0.2">
      <c r="G145" s="3" t="s">
        <v>479</v>
      </c>
    </row>
    <row r="146" spans="7:7" x14ac:dyDescent="0.2">
      <c r="G146" s="3" t="s">
        <v>480</v>
      </c>
    </row>
    <row r="147" spans="7:7" x14ac:dyDescent="0.2">
      <c r="G147" s="3" t="s">
        <v>481</v>
      </c>
    </row>
    <row r="148" spans="7:7" x14ac:dyDescent="0.2">
      <c r="G148" s="3" t="s">
        <v>482</v>
      </c>
    </row>
    <row r="149" spans="7:7" x14ac:dyDescent="0.2">
      <c r="G149" s="3" t="s">
        <v>541</v>
      </c>
    </row>
    <row r="150" spans="7:7" x14ac:dyDescent="0.2">
      <c r="G150" s="3" t="s">
        <v>546</v>
      </c>
    </row>
    <row r="151" spans="7:7" x14ac:dyDescent="0.2">
      <c r="G151" s="3" t="s">
        <v>483</v>
      </c>
    </row>
    <row r="152" spans="7:7" x14ac:dyDescent="0.2">
      <c r="G152" s="3" t="s">
        <v>484</v>
      </c>
    </row>
    <row r="153" spans="7:7" x14ac:dyDescent="0.2">
      <c r="G153" s="3" t="s">
        <v>485</v>
      </c>
    </row>
    <row r="154" spans="7:7" x14ac:dyDescent="0.2">
      <c r="G154" s="3" t="s">
        <v>551</v>
      </c>
    </row>
    <row r="155" spans="7:7" x14ac:dyDescent="0.2">
      <c r="G155" s="3" t="s">
        <v>486</v>
      </c>
    </row>
    <row r="156" spans="7:7" x14ac:dyDescent="0.2">
      <c r="G156" s="3" t="s">
        <v>487</v>
      </c>
    </row>
    <row r="157" spans="7:7" x14ac:dyDescent="0.2">
      <c r="G157" s="3" t="s">
        <v>488</v>
      </c>
    </row>
    <row r="158" spans="7:7" x14ac:dyDescent="0.2">
      <c r="G158" s="3" t="s">
        <v>489</v>
      </c>
    </row>
    <row r="159" spans="7:7" x14ac:dyDescent="0.2">
      <c r="G159" s="3" t="s">
        <v>490</v>
      </c>
    </row>
    <row r="160" spans="7:7" x14ac:dyDescent="0.2">
      <c r="G160" s="3" t="s">
        <v>491</v>
      </c>
    </row>
    <row r="161" spans="7:7" x14ac:dyDescent="0.2">
      <c r="G161" s="3" t="s">
        <v>492</v>
      </c>
    </row>
    <row r="162" spans="7:7" x14ac:dyDescent="0.2">
      <c r="G162" s="3" t="s">
        <v>493</v>
      </c>
    </row>
    <row r="163" spans="7:7" x14ac:dyDescent="0.2">
      <c r="G163" s="3" t="s">
        <v>580</v>
      </c>
    </row>
    <row r="164" spans="7:7" x14ac:dyDescent="0.2">
      <c r="G164" s="3" t="s">
        <v>565</v>
      </c>
    </row>
    <row r="165" spans="7:7" x14ac:dyDescent="0.2">
      <c r="G165" s="3" t="s">
        <v>494</v>
      </c>
    </row>
    <row r="166" spans="7:7" x14ac:dyDescent="0.2">
      <c r="G166" s="3" t="s">
        <v>495</v>
      </c>
    </row>
    <row r="167" spans="7:7" x14ac:dyDescent="0.2">
      <c r="G167" s="3" t="s">
        <v>570</v>
      </c>
    </row>
    <row r="168" spans="7:7" x14ac:dyDescent="0.2">
      <c r="G168" s="3" t="s">
        <v>496</v>
      </c>
    </row>
    <row r="169" spans="7:7" x14ac:dyDescent="0.2">
      <c r="G169" s="3" t="s">
        <v>497</v>
      </c>
    </row>
    <row r="170" spans="7:7" x14ac:dyDescent="0.2">
      <c r="G170" s="3" t="s">
        <v>544</v>
      </c>
    </row>
    <row r="171" spans="7:7" x14ac:dyDescent="0.2">
      <c r="G171" s="3" t="s">
        <v>576</v>
      </c>
    </row>
    <row r="172" spans="7:7" x14ac:dyDescent="0.2">
      <c r="G172" s="3" t="s">
        <v>498</v>
      </c>
    </row>
    <row r="173" spans="7:7" x14ac:dyDescent="0.2">
      <c r="G173" s="3" t="s">
        <v>499</v>
      </c>
    </row>
    <row r="174" spans="7:7" x14ac:dyDescent="0.2">
      <c r="G174" s="3" t="s">
        <v>552</v>
      </c>
    </row>
    <row r="175" spans="7:7" x14ac:dyDescent="0.2">
      <c r="G175" s="3" t="s">
        <v>500</v>
      </c>
    </row>
    <row r="176" spans="7:7" x14ac:dyDescent="0.2">
      <c r="G176" s="3" t="s">
        <v>577</v>
      </c>
    </row>
    <row r="177" spans="7:7" x14ac:dyDescent="0.2">
      <c r="G177" s="3" t="s">
        <v>501</v>
      </c>
    </row>
    <row r="178" spans="7:7" x14ac:dyDescent="0.2">
      <c r="G178" s="3" t="s">
        <v>567</v>
      </c>
    </row>
    <row r="179" spans="7:7" x14ac:dyDescent="0.2">
      <c r="G179" s="3" t="s">
        <v>562</v>
      </c>
    </row>
    <row r="180" spans="7:7" x14ac:dyDescent="0.2">
      <c r="G180" s="3" t="s">
        <v>554</v>
      </c>
    </row>
    <row r="181" spans="7:7" x14ac:dyDescent="0.2">
      <c r="G181" s="3" t="s">
        <v>502</v>
      </c>
    </row>
    <row r="182" spans="7:7" x14ac:dyDescent="0.2">
      <c r="G182" s="3" t="s">
        <v>503</v>
      </c>
    </row>
    <row r="183" spans="7:7" x14ac:dyDescent="0.2">
      <c r="G183" s="3" t="s">
        <v>504</v>
      </c>
    </row>
    <row r="184" spans="7:7" x14ac:dyDescent="0.2">
      <c r="G184" s="3" t="s">
        <v>505</v>
      </c>
    </row>
    <row r="185" spans="7:7" x14ac:dyDescent="0.2">
      <c r="G185" s="3" t="s">
        <v>506</v>
      </c>
    </row>
    <row r="186" spans="7:7" x14ac:dyDescent="0.2">
      <c r="G186" s="3" t="s">
        <v>507</v>
      </c>
    </row>
    <row r="187" spans="7:7" x14ac:dyDescent="0.2">
      <c r="G187" s="3" t="s">
        <v>508</v>
      </c>
    </row>
    <row r="188" spans="7:7" x14ac:dyDescent="0.2">
      <c r="G188" s="3" t="s">
        <v>509</v>
      </c>
    </row>
    <row r="189" spans="7:7" x14ac:dyDescent="0.2">
      <c r="G189" s="3" t="s">
        <v>510</v>
      </c>
    </row>
    <row r="190" spans="7:7" x14ac:dyDescent="0.2">
      <c r="G190" s="3" t="s">
        <v>511</v>
      </c>
    </row>
    <row r="191" spans="7:7" x14ac:dyDescent="0.2">
      <c r="G191" s="3" t="s">
        <v>512</v>
      </c>
    </row>
    <row r="192" spans="7:7" x14ac:dyDescent="0.2">
      <c r="G192" s="3" t="s">
        <v>513</v>
      </c>
    </row>
    <row r="193" spans="7:7" x14ac:dyDescent="0.2">
      <c r="G193" s="3" t="s">
        <v>578</v>
      </c>
    </row>
    <row r="194" spans="7:7" x14ac:dyDescent="0.2">
      <c r="G194" s="3" t="s">
        <v>572</v>
      </c>
    </row>
    <row r="195" spans="7:7" x14ac:dyDescent="0.2">
      <c r="G195" s="3" t="s">
        <v>514</v>
      </c>
    </row>
    <row r="196" spans="7:7" x14ac:dyDescent="0.2">
      <c r="G196" s="3" t="s">
        <v>515</v>
      </c>
    </row>
    <row r="197" spans="7:7" x14ac:dyDescent="0.2">
      <c r="G197" s="3" t="s">
        <v>516</v>
      </c>
    </row>
    <row r="198" spans="7:7" x14ac:dyDescent="0.2">
      <c r="G198" s="3" t="s">
        <v>517</v>
      </c>
    </row>
    <row r="199" spans="7:7" x14ac:dyDescent="0.2">
      <c r="G199" s="3" t="s">
        <v>569</v>
      </c>
    </row>
    <row r="200" spans="7:7" x14ac:dyDescent="0.2">
      <c r="G200" s="3" t="s">
        <v>518</v>
      </c>
    </row>
    <row r="201" spans="7:7" x14ac:dyDescent="0.2">
      <c r="G201" s="3" t="s">
        <v>519</v>
      </c>
    </row>
    <row r="202" spans="7:7" x14ac:dyDescent="0.2">
      <c r="G202" s="3" t="s">
        <v>520</v>
      </c>
    </row>
    <row r="203" spans="7:7" x14ac:dyDescent="0.2">
      <c r="G203" s="3" t="s">
        <v>521</v>
      </c>
    </row>
    <row r="204" spans="7:7" x14ac:dyDescent="0.2">
      <c r="G204" s="3" t="s">
        <v>522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2026-09-19T19:43:53Z</dcterms:modified>
  <cp:category/>
  <cp:contentStatus/>
</cp:coreProperties>
</file>