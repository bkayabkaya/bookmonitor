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A558ADE0-B97D-3E47-8448-55B897DDB3D8}" xr6:coauthVersionLast="47" xr6:coauthVersionMax="47" xr10:uidLastSave="{00000000-0000-0000-0000-000000000000}"/>
  <bookViews>
    <workbookView xWindow="7440" yWindow="-34040" windowWidth="45120" windowHeight="25040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0" i="3" l="1" a="1"/>
  <c r="G70" i="3" s="1"/>
  <c r="G69" i="3" a="1"/>
  <c r="G69" i="3" s="1"/>
  <c r="G68" i="3"/>
  <c r="G66" i="3"/>
  <c r="G65" i="3"/>
  <c r="D71" i="3"/>
  <c r="C71" i="3"/>
  <c r="B71" i="3"/>
  <c r="T78" i="7"/>
  <c r="S78" i="7"/>
  <c r="N78" i="7"/>
  <c r="M78" i="7"/>
  <c r="L78" i="7"/>
  <c r="D78" i="7"/>
  <c r="B78" i="7"/>
  <c r="V41" i="1"/>
  <c r="U41" i="1"/>
  <c r="D39" i="1"/>
  <c r="T77" i="7"/>
  <c r="S77" i="7"/>
  <c r="N77" i="7"/>
  <c r="M77" i="7"/>
  <c r="L77" i="7"/>
  <c r="D77" i="7"/>
  <c r="D70" i="3"/>
  <c r="C70" i="3"/>
  <c r="B70" i="3"/>
  <c r="T76" i="7" l="1"/>
  <c r="S76" i="7"/>
  <c r="N76" i="7"/>
  <c r="M76" i="7"/>
  <c r="L76" i="7"/>
  <c r="D76" i="7"/>
  <c r="S35" i="1"/>
  <c r="D75" i="7" l="1"/>
  <c r="N75" i="7" s="1"/>
  <c r="L75" i="7"/>
  <c r="T75" i="7" s="1"/>
  <c r="C75" i="7"/>
  <c r="S38" i="1"/>
  <c r="S37" i="1"/>
  <c r="S34" i="1"/>
  <c r="S33" i="1"/>
  <c r="T74" i="7"/>
  <c r="S74" i="7"/>
  <c r="L74" i="7"/>
  <c r="N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7" i="3" l="1"/>
  <c r="S75" i="7"/>
  <c r="M75" i="7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S30" i="1"/>
  <c r="S29" i="1"/>
  <c r="S19" i="1"/>
  <c r="S31" i="1"/>
  <c r="C67" i="3" l="1"/>
  <c r="D67" i="3" s="1"/>
  <c r="B68" i="3"/>
  <c r="N71" i="7"/>
  <c r="N73" i="7"/>
  <c r="N72" i="7"/>
  <c r="S12" i="1"/>
  <c r="S28" i="1"/>
  <c r="D28" i="1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E41" i="1"/>
  <c r="E42" i="1"/>
  <c r="U44" i="1"/>
  <c r="U5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<sst xmlns="http://schemas.openxmlformats.org/spreadsheetml/2006/main" count="341" uniqueCount="151">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</sst>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zoomScale="110" zoomScaleNormal="110" workbookViewId="0">
      <pane ySplit="1" topLeftCell="A11" activePane="bottomLeft" state="frozen"/>
      <selection activeCell="D1" sqref="D1"/>
      <selection pane="bottomLeft" activeCell="B47" sqref="B47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5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9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46281</v>
      </c>
      <c r="D32" s="31">
        <f t="shared" si="5"/>
        <v>15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-2000</v>
      </c>
      <c r="M32" s="43">
        <v>50.685000000000002</v>
      </c>
      <c r="N32" s="43" t="s">
        <v>72</v>
      </c>
      <c r="O32" s="43">
        <v>49.76</v>
      </c>
      <c r="P32" s="45">
        <v>99520</v>
      </c>
      <c r="Q32" s="43">
        <v>7.88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3600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30">
        <v>46279</v>
      </c>
      <c r="D35" s="31">
        <f t="shared" si="5"/>
        <v>4</v>
      </c>
      <c r="E35" s="29" t="s">
        <v>141</v>
      </c>
      <c r="F35" s="32" t="s">
        <v>142</v>
      </c>
      <c r="G35" s="29" t="s">
        <v>23</v>
      </c>
      <c r="H35" s="32" t="s">
        <v>24</v>
      </c>
      <c r="I35" s="29" t="s">
        <v>32</v>
      </c>
      <c r="J35" s="29" t="s">
        <v>133</v>
      </c>
      <c r="K35" s="29" t="s">
        <v>141</v>
      </c>
      <c r="L35" s="29">
        <v>1</v>
      </c>
      <c r="M35" s="29">
        <v>52061.3</v>
      </c>
      <c r="N35" s="29">
        <v>52341</v>
      </c>
      <c r="O35" s="29">
        <v>52341</v>
      </c>
      <c r="P35" s="35">
        <v>26031</v>
      </c>
      <c r="Q35" s="29">
        <v>3.11</v>
      </c>
      <c r="R35" s="29">
        <v>1</v>
      </c>
      <c r="S35" s="36">
        <f t="shared" si="4"/>
        <v>5.3725127878096988E-3</v>
      </c>
      <c r="T35" s="29">
        <v>141</v>
      </c>
      <c r="U35" s="37">
        <v>141</v>
      </c>
    </row>
    <row r="36" spans="1:22" x14ac:dyDescent="0.25">
      <c r="A36" s="29">
        <v>31</v>
      </c>
      <c r="B36" s="30">
        <v>46275</v>
      </c>
      <c r="C36" s="51">
        <v>46281</v>
      </c>
      <c r="D36" s="31">
        <f t="shared" si="5"/>
        <v>6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-280</v>
      </c>
      <c r="M36" s="43">
        <v>674.59</v>
      </c>
      <c r="N36" s="43" t="s">
        <v>72</v>
      </c>
      <c r="O36" s="43">
        <v>673.31</v>
      </c>
      <c r="P36" s="45">
        <v>188496</v>
      </c>
      <c r="Q36" s="43">
        <v>4.5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389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A39" s="29">
        <v>34</v>
      </c>
      <c r="B39" s="30">
        <v>46281</v>
      </c>
      <c r="C39" s="51">
        <v>46281</v>
      </c>
      <c r="D39" s="31">
        <f t="shared" si="5"/>
        <v>0</v>
      </c>
      <c r="E39" s="43" t="s">
        <v>149</v>
      </c>
      <c r="F39" s="44" t="s">
        <v>150</v>
      </c>
      <c r="G39" s="43" t="s">
        <v>23</v>
      </c>
      <c r="H39" s="44" t="s">
        <v>24</v>
      </c>
      <c r="I39" s="43" t="s">
        <v>48</v>
      </c>
      <c r="J39" s="43" t="s">
        <v>48</v>
      </c>
      <c r="K39" s="43" t="s">
        <v>149</v>
      </c>
      <c r="L39" s="43">
        <v>2000</v>
      </c>
      <c r="M39" s="43">
        <v>45.21</v>
      </c>
      <c r="N39" s="43" t="s">
        <v>72</v>
      </c>
      <c r="O39" s="43">
        <v>44.64</v>
      </c>
      <c r="P39" s="45">
        <v>88000</v>
      </c>
      <c r="Q39" s="43">
        <v>5.3</v>
      </c>
      <c r="R39" s="43" t="s">
        <v>72</v>
      </c>
      <c r="S39" s="46" t="s">
        <v>72</v>
      </c>
      <c r="T39" s="43" t="s">
        <v>72</v>
      </c>
      <c r="U39" s="45" t="s">
        <v>72</v>
      </c>
      <c r="V39" s="29">
        <v>-1100</v>
      </c>
    </row>
    <row r="40" spans="1:22" x14ac:dyDescent="0.25">
      <c r="F40" s="32"/>
      <c r="H40" s="32"/>
    </row>
    <row r="41" spans="1:22" x14ac:dyDescent="0.25">
      <c r="D41" s="48" t="s">
        <v>103</v>
      </c>
      <c r="E41" s="42">
        <f>AVERAGE(D2:D31)</f>
        <v>8.5333333333333332</v>
      </c>
      <c r="F41" s="32"/>
      <c r="H41" s="32"/>
      <c r="U41" s="35">
        <f>SUM(U2:U39)</f>
        <v>72181.47</v>
      </c>
      <c r="V41" s="35">
        <f>SUM(V2:V39)</f>
        <v>2889</v>
      </c>
    </row>
    <row r="42" spans="1:22" x14ac:dyDescent="0.25">
      <c r="D42" s="48" t="s">
        <v>104</v>
      </c>
      <c r="E42" s="42">
        <f>AVERAGE(D2:D11,D13,D15:D31)</f>
        <v>5</v>
      </c>
      <c r="F42" s="32"/>
      <c r="U42" s="49" t="s">
        <v>105</v>
      </c>
      <c r="V42" s="32" t="s">
        <v>106</v>
      </c>
    </row>
    <row r="43" spans="1:22" x14ac:dyDescent="0.25">
      <c r="F43" s="32"/>
      <c r="U43" s="29" t="s">
        <v>107</v>
      </c>
    </row>
    <row r="44" spans="1:22" x14ac:dyDescent="0.25">
      <c r="F44" s="32"/>
      <c r="U44" s="35">
        <f>U41+V41</f>
        <v>75070.47</v>
      </c>
    </row>
    <row r="45" spans="1:22" x14ac:dyDescent="0.25">
      <c r="F45" s="32"/>
    </row>
    <row r="46" spans="1:22" x14ac:dyDescent="0.25">
      <c r="F46" s="32"/>
      <c r="U46" s="32" t="s">
        <v>108</v>
      </c>
    </row>
    <row r="47" spans="1:22" x14ac:dyDescent="0.25">
      <c r="F47" s="32"/>
      <c r="U47" s="35">
        <v>333000</v>
      </c>
    </row>
    <row r="49" spans="21:21" x14ac:dyDescent="0.25">
      <c r="U49" s="29" t="s">
        <v>109</v>
      </c>
    </row>
    <row r="50" spans="21:21" x14ac:dyDescent="0.25">
      <c r="U50" s="50">
        <f>U44/U47</f>
        <v>0.22543684684684684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1"/>
  <sheetViews>
    <sheetView topLeftCell="A44" zoomScale="200" zoomScaleNormal="200" workbookViewId="0">
      <selection activeCell="F72" sqref="F72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71" si="0">B4-B3</f>
        <v>6713.6600000000326</v>
      </c>
      <c r="D4" s="19">
        <f t="shared" ref="D4:D71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AVERAGE(C3:C71)</f>
        <v>1137.0013043478257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_xlfn.STDEV.S(C3:C71)</f>
        <v>4334.0271391583974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4.1645646347907652</v>
      </c>
    </row>
    <row r="68" spans="1:7" x14ac:dyDescent="0.2">
      <c r="A68" s="22">
        <v>46276</v>
      </c>
      <c r="B68" s="1">
        <f>B67+150+25+1820+518-1920</f>
        <v>412405</v>
      </c>
      <c r="C68" s="1">
        <f t="shared" si="0"/>
        <v>593</v>
      </c>
      <c r="D68" s="19">
        <f t="shared" si="1"/>
        <v>1.4399774654453973E-3</v>
      </c>
      <c r="F68" s="21" t="s">
        <v>117</v>
      </c>
      <c r="G68" s="25">
        <f>_xlfn.STDEV.S(D2:D71)*SQRT(252)</f>
        <v>0.18779508191267738</v>
      </c>
    </row>
    <row r="69" spans="1:7" x14ac:dyDescent="0.2">
      <c r="A69" s="22">
        <v>46279</v>
      </c>
      <c r="B69" s="1">
        <f>B68-1737-2132</f>
        <v>408536</v>
      </c>
      <c r="C69" s="1">
        <f t="shared" si="0"/>
        <v>-3869</v>
      </c>
      <c r="D69" s="19">
        <f t="shared" si="1"/>
        <v>-9.3815545398334161E-3</v>
      </c>
      <c r="F69" s="21" t="s">
        <v>118</v>
      </c>
      <c r="G69" s="25" cm="1">
        <f t="array" ref="G69">PRODUCT(1+D2:D71)-1</f>
        <v>0.23527294380544328</v>
      </c>
    </row>
    <row r="70" spans="1:7" x14ac:dyDescent="0.2">
      <c r="A70" s="22">
        <v>46280</v>
      </c>
      <c r="B70" s="1">
        <f>B69-1790-637</f>
        <v>406109</v>
      </c>
      <c r="C70" s="1">
        <f t="shared" si="0"/>
        <v>-2427</v>
      </c>
      <c r="D70" s="19">
        <f t="shared" si="1"/>
        <v>-5.9407249299939296E-3</v>
      </c>
      <c r="F70" s="21" t="s">
        <v>119</v>
      </c>
      <c r="G70" s="25" cm="1">
        <f t="array" ref="G70">PRODUCT(1+D2:D71)^(252/COUNT(D2:D71))-1</f>
        <v>1.1396687558113086</v>
      </c>
    </row>
    <row r="71" spans="1:7" x14ac:dyDescent="0.2">
      <c r="A71" s="22">
        <v>46281</v>
      </c>
      <c r="B71" s="1">
        <f>B70+5800</f>
        <v>411909</v>
      </c>
      <c r="C71" s="1">
        <f t="shared" si="0"/>
        <v>5800</v>
      </c>
      <c r="D71" s="19">
        <f t="shared" si="1"/>
        <v>1.4281879987885026E-2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zoomScale="110" zoomScaleNormal="110" workbookViewId="0">
      <pane ySplit="1" topLeftCell="A36" activePane="bottomLeft" state="frozen"/>
      <selection pane="bottomLeft" activeCell="I78" sqref="I78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8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 t="shared" ref="M70:M75" si="1">C70/L70</f>
        <v>0.24736201845057287</v>
      </c>
      <c r="N70" s="11">
        <f t="shared" ref="N70:N75" si="2"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 t="shared" si="1"/>
        <v>0.24736201845057287</v>
      </c>
      <c r="N71" s="11">
        <f t="shared" si="2"/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 t="shared" si="1"/>
        <v>0.24736201845057287</v>
      </c>
      <c r="N72" s="11">
        <f t="shared" si="2"/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 t="shared" si="1"/>
        <v>0.45189296410476892</v>
      </c>
      <c r="N73" s="11">
        <f t="shared" si="2"/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 t="shared" si="1"/>
        <v>0.74001534325198803</v>
      </c>
      <c r="N74" s="11">
        <f t="shared" si="2"/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412405</v>
      </c>
      <c r="C75" s="15">
        <f>64754+151830</f>
        <v>216584</v>
      </c>
      <c r="D75" s="9">
        <f>B75-C75-I75</f>
        <v>169790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412405</v>
      </c>
      <c r="M75" s="11">
        <f t="shared" si="1"/>
        <v>0.52517307016161296</v>
      </c>
      <c r="N75" s="11">
        <f t="shared" si="2"/>
        <v>0.41170693856767016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6.3119991270716894E-2</v>
      </c>
      <c r="T75" s="12">
        <f>K75/L75</f>
        <v>0</v>
      </c>
      <c r="U75" s="11">
        <v>0</v>
      </c>
    </row>
    <row r="76" spans="1:21" x14ac:dyDescent="0.25">
      <c r="A76" s="6">
        <v>46279</v>
      </c>
      <c r="B76" s="7">
        <v>408536</v>
      </c>
      <c r="C76" s="15">
        <v>304575</v>
      </c>
      <c r="D76" s="9">
        <f>B76-C76-I76</f>
        <v>103961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14">
        <v>0</v>
      </c>
      <c r="L76" s="10">
        <f t="shared" si="0"/>
        <v>408536</v>
      </c>
      <c r="M76" s="11">
        <f t="shared" ref="M76" si="3">C76/L76</f>
        <v>0.74552793389077099</v>
      </c>
      <c r="N76" s="11">
        <f t="shared" ref="N76" si="4">D76/L76</f>
        <v>0.25447206610922907</v>
      </c>
      <c r="O76" s="12">
        <v>0</v>
      </c>
      <c r="P76" s="12">
        <v>0</v>
      </c>
      <c r="Q76" s="12">
        <v>0</v>
      </c>
      <c r="R76" s="12">
        <v>0</v>
      </c>
      <c r="S76" s="12">
        <f>I76/L76</f>
        <v>0</v>
      </c>
      <c r="T76" s="12">
        <f>K76/L76</f>
        <v>0</v>
      </c>
      <c r="U76" s="11">
        <v>0</v>
      </c>
    </row>
    <row r="77" spans="1:21" x14ac:dyDescent="0.25">
      <c r="A77" s="6">
        <v>46280</v>
      </c>
      <c r="B77" s="7">
        <v>406109</v>
      </c>
      <c r="C77" s="15">
        <v>391532</v>
      </c>
      <c r="D77" s="9">
        <f>B77-C77-I77</f>
        <v>14577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14">
        <v>0</v>
      </c>
      <c r="L77" s="10">
        <f t="shared" si="0"/>
        <v>406109</v>
      </c>
      <c r="M77" s="11">
        <f t="shared" ref="M77" si="5">C77/L77</f>
        <v>0.96410569576148275</v>
      </c>
      <c r="N77" s="11">
        <f t="shared" ref="N77" si="6">D77/L77</f>
        <v>3.5894304238517243E-2</v>
      </c>
      <c r="O77" s="12">
        <v>0</v>
      </c>
      <c r="P77" s="12">
        <v>0</v>
      </c>
      <c r="Q77" s="12">
        <v>0</v>
      </c>
      <c r="R77" s="12">
        <v>0</v>
      </c>
      <c r="S77" s="12">
        <f>I77/L77</f>
        <v>0</v>
      </c>
      <c r="T77" s="12">
        <f>K77/L77</f>
        <v>0</v>
      </c>
      <c r="U77" s="11">
        <v>0</v>
      </c>
    </row>
    <row r="78" spans="1:21" x14ac:dyDescent="0.25">
      <c r="A78" s="6">
        <v>46281</v>
      </c>
      <c r="B78" s="7">
        <f>B77+5870</f>
        <v>411979</v>
      </c>
      <c r="C78" s="15">
        <v>288016</v>
      </c>
      <c r="D78" s="9">
        <f>B78-C78-K78</f>
        <v>35963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14">
        <v>88000</v>
      </c>
      <c r="L78" s="10">
        <f t="shared" si="0"/>
        <v>411979</v>
      </c>
      <c r="M78" s="11">
        <f t="shared" ref="M78" si="7">C78/L78</f>
        <v>0.69910359508615727</v>
      </c>
      <c r="N78" s="11">
        <f t="shared" ref="N78" si="8">D78/L78</f>
        <v>8.7293284366436158E-2</v>
      </c>
      <c r="O78" s="12">
        <v>0</v>
      </c>
      <c r="P78" s="12">
        <v>0</v>
      </c>
      <c r="Q78" s="12">
        <v>0</v>
      </c>
      <c r="R78" s="12">
        <v>0</v>
      </c>
      <c r="S78" s="12">
        <f>I78/L78</f>
        <v>0</v>
      </c>
      <c r="T78" s="12">
        <f>K78/L78</f>
        <v>0.21360312054740654</v>
      </c>
      <c r="U78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2026-09-16T20:20:37Z</dcterms:modified>
  <cp:category/>
  <cp:contentStatus/>
</cp:coreProperties>
</file>