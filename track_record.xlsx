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B51EB213-2CB0-5149-A016-1C6E89C1213F}" xr6:coauthVersionLast="47" xr6:coauthVersionMax="47" xr10:uidLastSave="{00000000-0000-0000-0000-000000000000}"/>
  <bookViews>
    <workbookView xWindow="5360" yWindow="-37100" windowWidth="46400" windowHeight="219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84" i="7" l="1"/>
  <c r="W84" i="7"/>
  <c r="T84" i="7"/>
  <c r="S84" i="7"/>
  <c r="O84" i="7"/>
  <c r="N84" i="7"/>
  <c r="D84" i="7"/>
  <c r="M84" i="7" s="1"/>
  <c r="G70" i="3" a="1"/>
  <c r="G70" i="3" s="1"/>
  <c r="G69" i="3" a="1"/>
  <c r="G69" i="3" s="1"/>
  <c r="G68" i="3"/>
  <c r="G66" i="3"/>
  <c r="G65" i="3"/>
  <c r="D77" i="3"/>
  <c r="C77" i="3"/>
  <c r="B77" i="3"/>
  <c r="U51" i="1"/>
  <c r="V51" i="1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3" i="1"/>
  <c r="P44" i="1"/>
  <c r="P46" i="1"/>
  <c r="P47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O81" i="7" l="1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U77" i="7" l="1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E51" i="1" l="1"/>
  <c r="E52" i="1"/>
  <c r="D3" i="3"/>
  <c r="U54" i="1"/>
  <c r="U60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  <c r="G6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<sst xmlns="http://schemas.openxmlformats.org/spreadsheetml/2006/main" count="872" uniqueCount="613">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</sst>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0"/>
  <sheetViews>
    <sheetView tabSelected="1" zoomScale="110" zoomScaleNormal="110" workbookViewId="0">
      <pane ySplit="1" topLeftCell="A25" activePane="bottomLeft" state="frozen"/>
      <selection activeCell="D1" sqref="D1"/>
      <selection pane="bottomLeft" activeCell="C54" sqref="C54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3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49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3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3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591</v>
      </c>
      <c r="F39" s="36" t="s">
        <v>592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591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3">
        <v>2167</v>
      </c>
      <c r="U39" s="41">
        <v>2167</v>
      </c>
    </row>
    <row r="40" spans="1:22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593</v>
      </c>
      <c r="F40" s="36" t="s">
        <v>594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593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3">
        <v>-438</v>
      </c>
      <c r="U40" s="45">
        <v>-438</v>
      </c>
    </row>
    <row r="41" spans="1:22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595</v>
      </c>
      <c r="F41" s="36" t="s">
        <v>596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595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3">
        <v>-317</v>
      </c>
      <c r="U41" s="45">
        <v>-317</v>
      </c>
    </row>
    <row r="42" spans="1:22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597</v>
      </c>
      <c r="F42" s="36" t="s">
        <v>598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597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3">
        <v>1721</v>
      </c>
      <c r="U42" s="41">
        <v>1721</v>
      </c>
    </row>
    <row r="43" spans="1:22" x14ac:dyDescent="0.25">
      <c r="A43" s="33">
        <v>38</v>
      </c>
      <c r="B43" s="34">
        <v>46286</v>
      </c>
      <c r="C43" s="55">
        <v>46290</v>
      </c>
      <c r="D43" s="35">
        <f t="shared" si="5"/>
        <v>4</v>
      </c>
      <c r="E43" s="47" t="s">
        <v>599</v>
      </c>
      <c r="F43" s="48" t="s">
        <v>600</v>
      </c>
      <c r="G43" s="47" t="s">
        <v>23</v>
      </c>
      <c r="H43" s="48" t="s">
        <v>24</v>
      </c>
      <c r="I43" s="47" t="s">
        <v>25</v>
      </c>
      <c r="J43" s="47" t="s">
        <v>25</v>
      </c>
      <c r="K43" s="47" t="s">
        <v>599</v>
      </c>
      <c r="L43" s="47">
        <v>-200</v>
      </c>
      <c r="M43" s="47">
        <v>156.29</v>
      </c>
      <c r="N43" s="47" t="s">
        <v>72</v>
      </c>
      <c r="O43" s="47">
        <v>154.66</v>
      </c>
      <c r="P43" s="49">
        <f>ABS(M43*L43)</f>
        <v>31258</v>
      </c>
      <c r="Q43" s="47">
        <v>1.02</v>
      </c>
      <c r="R43" s="47" t="s">
        <v>72</v>
      </c>
      <c r="S43" s="50" t="s">
        <v>72</v>
      </c>
      <c r="T43" s="47" t="s">
        <v>72</v>
      </c>
      <c r="U43" s="49" t="s">
        <v>72</v>
      </c>
      <c r="V43" s="33">
        <v>327</v>
      </c>
    </row>
    <row r="44" spans="1:22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601</v>
      </c>
      <c r="F44" s="36" t="s">
        <v>602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601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3">
        <v>1134</v>
      </c>
      <c r="U44" s="41">
        <v>1134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6" si="8">IF(R45=1, ABS(N45-M45)/M45, 0)</f>
        <v>6.6957880304817775E-4</v>
      </c>
      <c r="T45" s="33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604</v>
      </c>
      <c r="F46" s="36" t="s">
        <v>605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604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3">
        <v>-664</v>
      </c>
      <c r="U46" s="45">
        <v>-664</v>
      </c>
    </row>
    <row r="47" spans="1:22" x14ac:dyDescent="0.25">
      <c r="A47" s="33">
        <v>42</v>
      </c>
      <c r="B47" s="34">
        <v>46288</v>
      </c>
      <c r="C47" s="55">
        <v>46290</v>
      </c>
      <c r="D47" s="35">
        <f t="shared" si="5"/>
        <v>2</v>
      </c>
      <c r="E47" s="47" t="s">
        <v>606</v>
      </c>
      <c r="F47" s="48" t="s">
        <v>607</v>
      </c>
      <c r="G47" s="47" t="s">
        <v>23</v>
      </c>
      <c r="H47" s="48" t="s">
        <v>24</v>
      </c>
      <c r="I47" s="47" t="s">
        <v>25</v>
      </c>
      <c r="J47" s="47" t="s">
        <v>25</v>
      </c>
      <c r="K47" s="47" t="s">
        <v>606</v>
      </c>
      <c r="L47" s="47">
        <v>-160</v>
      </c>
      <c r="M47" s="47">
        <v>256.4325</v>
      </c>
      <c r="N47" s="47" t="s">
        <v>72</v>
      </c>
      <c r="O47" s="47">
        <v>258.86</v>
      </c>
      <c r="P47" s="49">
        <f>ABS(M47*L47)</f>
        <v>41029.199999999997</v>
      </c>
      <c r="Q47" s="47">
        <v>2.08</v>
      </c>
      <c r="R47" s="47" t="s">
        <v>72</v>
      </c>
      <c r="S47" s="50" t="s">
        <v>72</v>
      </c>
      <c r="T47" s="47" t="s">
        <v>72</v>
      </c>
      <c r="U47" s="49" t="s">
        <v>72</v>
      </c>
      <c r="V47" s="33">
        <v>-605</v>
      </c>
    </row>
    <row r="48" spans="1:22" x14ac:dyDescent="0.25">
      <c r="A48" s="33">
        <v>43</v>
      </c>
      <c r="B48" s="34">
        <v>46288</v>
      </c>
      <c r="C48" s="55">
        <v>46290</v>
      </c>
      <c r="D48" s="35">
        <f t="shared" si="5"/>
        <v>2</v>
      </c>
      <c r="E48" s="47" t="s">
        <v>58</v>
      </c>
      <c r="F48" s="48" t="s">
        <v>59</v>
      </c>
      <c r="G48" s="47" t="s">
        <v>23</v>
      </c>
      <c r="H48" s="48" t="s">
        <v>24</v>
      </c>
      <c r="I48" s="47" t="s">
        <v>32</v>
      </c>
      <c r="J48" s="47" t="s">
        <v>532</v>
      </c>
      <c r="K48" s="47" t="s">
        <v>608</v>
      </c>
      <c r="L48" s="47">
        <v>20</v>
      </c>
      <c r="M48" s="47">
        <v>17.555</v>
      </c>
      <c r="N48" s="47" t="s">
        <v>72</v>
      </c>
      <c r="O48" s="47">
        <v>17.7</v>
      </c>
      <c r="P48" s="49">
        <f>ABS(M48*L48)*100</f>
        <v>35110</v>
      </c>
      <c r="Q48" s="47">
        <v>9.1999999999999993</v>
      </c>
      <c r="R48" s="47" t="s">
        <v>72</v>
      </c>
      <c r="S48" s="50" t="s">
        <v>72</v>
      </c>
      <c r="T48" s="47" t="s">
        <v>72</v>
      </c>
      <c r="U48" s="49" t="s">
        <v>72</v>
      </c>
      <c r="V48" s="33">
        <v>271</v>
      </c>
    </row>
    <row r="49" spans="1:22" x14ac:dyDescent="0.25">
      <c r="A49" s="33">
        <v>44</v>
      </c>
      <c r="B49" s="34">
        <v>46289</v>
      </c>
      <c r="C49" s="55">
        <v>46290</v>
      </c>
      <c r="D49" s="35">
        <f t="shared" si="5"/>
        <v>1</v>
      </c>
      <c r="E49" s="47" t="s">
        <v>609</v>
      </c>
      <c r="F49" s="48" t="s">
        <v>610</v>
      </c>
      <c r="G49" s="47" t="s">
        <v>23</v>
      </c>
      <c r="H49" s="48" t="s">
        <v>24</v>
      </c>
      <c r="I49" s="47" t="s">
        <v>32</v>
      </c>
      <c r="J49" s="47" t="s">
        <v>125</v>
      </c>
      <c r="K49" s="47" t="s">
        <v>611</v>
      </c>
      <c r="L49" s="47">
        <v>-2</v>
      </c>
      <c r="M49" s="47">
        <v>3.327</v>
      </c>
      <c r="N49" s="47" t="s">
        <v>72</v>
      </c>
      <c r="O49" s="47">
        <v>3.24</v>
      </c>
      <c r="P49" s="49">
        <v>16220</v>
      </c>
      <c r="Q49" s="47">
        <v>4.0999999999999996</v>
      </c>
      <c r="R49" s="47" t="s">
        <v>72</v>
      </c>
      <c r="S49" s="50" t="s">
        <v>72</v>
      </c>
      <c r="T49" s="47" t="s">
        <v>72</v>
      </c>
      <c r="U49" s="49" t="s">
        <v>72</v>
      </c>
      <c r="V49" s="33">
        <v>590</v>
      </c>
    </row>
    <row r="50" spans="1:22" x14ac:dyDescent="0.25">
      <c r="F50" s="36"/>
      <c r="H50" s="36"/>
    </row>
    <row r="51" spans="1:22" x14ac:dyDescent="0.25">
      <c r="D51" s="52" t="s">
        <v>103</v>
      </c>
      <c r="E51" s="46">
        <f>AVERAGE(D2:D38)</f>
        <v>7.8648648648648649</v>
      </c>
      <c r="F51" s="36"/>
      <c r="H51" s="36"/>
      <c r="U51" s="39">
        <f>SUM(U2:U49)</f>
        <v>79456.47</v>
      </c>
      <c r="V51" s="39">
        <f>SUM(V2:V49)</f>
        <v>583</v>
      </c>
    </row>
    <row r="52" spans="1:22" x14ac:dyDescent="0.25">
      <c r="D52" s="52" t="s">
        <v>104</v>
      </c>
      <c r="E52" s="46">
        <f>AVERAGE(D2:D11,D13,D15:D38)</f>
        <v>5</v>
      </c>
      <c r="F52" s="36"/>
      <c r="U52" s="53" t="s">
        <v>105</v>
      </c>
      <c r="V52" s="36" t="s">
        <v>106</v>
      </c>
    </row>
    <row r="53" spans="1:22" x14ac:dyDescent="0.25">
      <c r="F53" s="36"/>
      <c r="U53" s="33" t="s">
        <v>107</v>
      </c>
    </row>
    <row r="54" spans="1:22" x14ac:dyDescent="0.25">
      <c r="F54" s="36"/>
      <c r="U54" s="39">
        <f>U51+V51</f>
        <v>80039.47</v>
      </c>
    </row>
    <row r="55" spans="1:22" x14ac:dyDescent="0.25">
      <c r="F55" s="36"/>
    </row>
    <row r="56" spans="1:22" x14ac:dyDescent="0.25">
      <c r="F56" s="36"/>
      <c r="U56" s="36" t="s">
        <v>108</v>
      </c>
    </row>
    <row r="57" spans="1:22" x14ac:dyDescent="0.25">
      <c r="F57" s="36"/>
      <c r="U57" s="39">
        <v>333000</v>
      </c>
    </row>
    <row r="59" spans="1:22" x14ac:dyDescent="0.25">
      <c r="U59" s="33" t="s">
        <v>109</v>
      </c>
    </row>
    <row r="60" spans="1:22" x14ac:dyDescent="0.25">
      <c r="U60" s="54">
        <f>U54/U57</f>
        <v>0.24035876876876877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G77"/>
  <sheetViews>
    <sheetView topLeftCell="A52" zoomScale="200" zoomScaleNormal="200" workbookViewId="0">
      <selection activeCell="F74" sqref="F74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77" si="0">B4-B3</f>
        <v>6713.6600000000326</v>
      </c>
      <c r="D4" s="23">
        <f t="shared" ref="D4:D77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7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  <c r="F65" s="25" t="s">
        <v>114</v>
      </c>
      <c r="G65" s="27">
        <f>AVERAGE(C3:C77)</f>
        <v>1101.6145333333329</v>
      </c>
    </row>
    <row r="66" spans="1:7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  <c r="F66" s="25" t="s">
        <v>115</v>
      </c>
      <c r="G66" s="27">
        <f>_xlfn.STDEV.S(C3:C77)</f>
        <v>4216.5641012521528</v>
      </c>
    </row>
    <row r="67" spans="1:7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  <c r="F67" s="25" t="s">
        <v>116</v>
      </c>
      <c r="G67" s="28">
        <f>(G65/G66)*SQRT(252)</f>
        <v>4.1473550870325235</v>
      </c>
    </row>
    <row r="68" spans="1:7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  <c r="F68" s="25" t="s">
        <v>117</v>
      </c>
      <c r="G68" s="29">
        <f>_xlfn.STDEV.S(D2:D77)*SQRT(252)</f>
        <v>0.18224106616972091</v>
      </c>
    </row>
    <row r="69" spans="1:7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  <c r="F69" s="25" t="s">
        <v>118</v>
      </c>
      <c r="G69" s="29" cm="1">
        <f t="array" ref="G69">PRODUCT(1+D2:D77)-1</f>
        <v>0.24777234932894765</v>
      </c>
    </row>
    <row r="70" spans="1:7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  <c r="F70" s="25" t="s">
        <v>119</v>
      </c>
      <c r="G70" s="29" cm="1">
        <f t="array" ref="G70">PRODUCT(1+D2:D77)^(252/COUNT(D2:D77))-1</f>
        <v>1.083361365418201</v>
      </c>
    </row>
    <row r="71" spans="1:7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7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7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7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</row>
    <row r="75" spans="1:7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</row>
    <row r="76" spans="1:7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</row>
    <row r="77" spans="1:7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="110" zoomScaleNormal="110" workbookViewId="0">
      <pane ySplit="1" topLeftCell="A55" activePane="bottomLeft" state="frozen"/>
      <selection pane="bottomLeft" activeCell="R88" sqref="R88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125</v>
      </c>
      <c r="L1" s="8" t="s">
        <v>48</v>
      </c>
      <c r="M1" s="9" t="s">
        <v>526</v>
      </c>
      <c r="N1" s="8" t="s">
        <v>527</v>
      </c>
      <c r="O1" s="8" t="s">
        <v>528</v>
      </c>
      <c r="P1" s="8" t="s">
        <v>536</v>
      </c>
      <c r="Q1" s="8" t="s">
        <v>537</v>
      </c>
      <c r="R1" s="8" t="s">
        <v>538</v>
      </c>
      <c r="S1" s="8" t="s">
        <v>539</v>
      </c>
      <c r="T1" s="8" t="s">
        <v>540</v>
      </c>
      <c r="U1" s="8" t="s">
        <v>590</v>
      </c>
      <c r="V1" s="8" t="s">
        <v>612</v>
      </c>
      <c r="W1" s="8" t="s">
        <v>529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84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2">C84/M84</f>
        <v>0.17373466930399903</v>
      </c>
      <c r="O84" s="15">
        <f t="shared" ref="O84" si="23">D84/M84</f>
        <v>0.70148073553693191</v>
      </c>
      <c r="P84" s="15">
        <v>0</v>
      </c>
      <c r="Q84" s="15">
        <v>0</v>
      </c>
      <c r="R84" s="15">
        <v>0</v>
      </c>
      <c r="S84" s="15">
        <f>H84/M84</f>
        <v>8.5801426178327575E-2</v>
      </c>
      <c r="T84" s="15">
        <f t="shared" ref="T84" si="24">I84/M84</f>
        <v>0</v>
      </c>
      <c r="U84" s="15">
        <v>0</v>
      </c>
      <c r="V84" s="16">
        <f>K84/M84</f>
        <v>3.8983168980741542E-2</v>
      </c>
      <c r="W84" s="15">
        <f t="shared" ref="W84" si="25">L84/M84</f>
        <v>0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2026-09-25T10:28:05Z</dcterms:modified>
  <cp:category/>
  <cp:contentStatus/>
</cp:coreProperties>
</file>